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raffic" sheetId="2" state="visible" r:id="rId4"/>
    <sheet name="Step" sheetId="3" state="visible" r:id="rId5"/>
    <sheet name="Underlying" sheetId="4" state="visible" r:id="rId6"/>
    <sheet name="Nov" sheetId="5" state="visible" r:id="rId7"/>
    <sheet name="Articles" sheetId="6" state="visible" r:id="rId8"/>
    <sheet name="Windows" sheetId="7" state="visible" r:id="rId9"/>
    <sheet name="Guides" sheetId="8" state="visible" r:id="rId10"/>
    <sheet name="Checks" sheetId="9" state="visible" r:id="rId11"/>
  </sheets>
  <definedNames>
    <definedName function="false" hidden="true" localSheetId="5" name="_xlnm._FilterDatabase" vbProcedure="false">Articles!$A$3:$L$123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<sst xmlns="http://schemas.openxmlformats.org/spreadsheetml/2006/main" count="863" uniqueCount="428">
  <si>
    <t xml:space="preserve">analysis.xlsx - every number in memo.md traces to a formula here.</t>
  </si>
  <si>
    <t xml:space="preserve">Blue = typed input (copied from the CSVs). Black = formula. Yellow = assumption you can change.</t>
  </si>
  <si>
    <t xml:space="preserve">INVENTED data: Traffic sheet (given by TechAbout). REAL data: Articles sheet (scraped headlines).</t>
  </si>
  <si>
    <t xml:space="preserve">Sheets: Traffic -&gt; Step -&gt; Underlying -&gt; Nov -&gt; Guides ; Articles -&gt; Windows ; Checks.</t>
  </si>
  <si>
    <t xml:space="preserve">Scrape date (Articles!J1) is 2026-10-03, the day the pages were opened. Relative dates like '5 days ago' are counted back from it.</t>
  </si>
  <si>
    <t xml:space="preserve">month</t>
  </si>
  <si>
    <t xml:space="preserve">AI</t>
  </si>
  <si>
    <t xml:space="preserve">Markets</t>
  </si>
  <si>
    <t xml:space="preserve">Crypto</t>
  </si>
  <si>
    <t xml:space="preserve">Breakthroughs</t>
  </si>
  <si>
    <t xml:space="preserve">Policy</t>
  </si>
  <si>
    <t xml:space="preserve">Guides</t>
  </si>
  <si>
    <t xml:space="preserve">newsletter_signups</t>
  </si>
  <si>
    <t xml:space="preserve">post_swap (1=after 1 Feb)</t>
  </si>
  <si>
    <t xml:space="preserve">Total sessions</t>
  </si>
  <si>
    <t xml:space="preserve">Total ex-Guides</t>
  </si>
  <si>
    <t xml:space="preserve">Sessions per signup</t>
  </si>
  <si>
    <t xml:space="preserve">Total MoM %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</si>
  <si>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</si>
  <si>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</si>
  <si>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</si>
  <si>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</si>
  <si>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</si>
  <si>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</si>
  <si>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</si>
  <si>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</si>
  <si>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</si>
  <si>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</si>
  <si>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</si>
  <si>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</si>
  <si>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Source: traffic_table.csv (INVENTED by TechAbout). Rows 2-13 = Sep-25..Aug-26. No month is a year apart, so true YoY cannot be computed.</t>
  </si>
  <si>
    <t xml:space="preserve">Typical MoM (excl. Nov, Dec, Feb):</t>
  </si>
  <si>
    <t xml:space="preserve">Feb step (total):</t>
  </si>
  <si>
    <t xml:space="preserve">Feb step / typical month:</t>
  </si>
  <si>
    <t xml:space="preserve">Section</t>
  </si>
  <si>
    <t xml:space="preserve">Sep-25</t>
  </si>
  <si>
    <t xml:space="preserve">Jan-26</t>
  </si>
  <si>
    <t xml:space="preserve">Feb-26</t>
  </si>
  <si>
    <t xml:space="preserve">Pre-swap monthly gain =(Jan-Sep)/4</t>
  </si>
  <si>
    <t xml:space="preserve">Expected Feb with no swap</t>
  </si>
  <si>
    <t xml:space="preserve">Step k = Feb / expected</t>
  </si>
  <si>
    <t xml:space="preserve">Raw Feb/Jan (upper bound, zero growth)</t>
  </si>
  <si>
    <t xml:space="preserve">Total</t>
  </si>
  <si>
    <t xml:space="preserve">k LOW (smallest section)</t>
  </si>
  <si>
    <t xml:space="preserve">k CENTRAL (total Feb / total expected)</t>
  </si>
  <si>
    <t xml:space="preserve">k HIGH (total Feb / Jan, assumes zero real growth)</t>
  </si>
  <si>
    <t xml:space="preserve">Reading: six sections with different trends (+3% a month to -2.6% a month) all step by 1.43 to 1.45 in the same month. Real audience events do not do that. Crypto is lowest because its Jan level was already rising faster (400 a month).</t>
  </si>
  <si>
    <t xml:space="preserve">Reported total</t>
  </si>
  <si>
    <t xml:space="preserve">post_swap</t>
  </si>
  <si>
    <t xml:space="preserve">Adjusted total (central k)</t>
  </si>
  <si>
    <t xml:space="preserve">Adjusted ex-Guides (central k)</t>
  </si>
  <si>
    <t xml:space="preserve">Signups</t>
  </si>
  <si>
    <t xml:space="preserve">Index reported</t>
  </si>
  <si>
    <t xml:space="preserve">Index adjusted</t>
  </si>
  <si>
    <t xml:space="preserve">Index signups</t>
  </si>
  <si>
    <t xml:space="preserve">Aug-26 vs Sep-25, REPORTED (11 months apart, not YoY)</t>
  </si>
  <si>
    <t xml:space="preserve">Aug-26 vs Sep-25, UNDERLYING, central k</t>
  </si>
  <si>
    <t xml:space="preserve">  low-growth end (k HIGH)</t>
  </si>
  <si>
    <t xml:space="preserve">  high-growth end (k LOW)</t>
  </si>
  <si>
    <t xml:space="preserve">Underlying, annualised equivalent =(1+x)^(12/11)-1</t>
  </si>
  <si>
    <t xml:space="preserve">Underlying ex-Guides, central k</t>
  </si>
  <si>
    <t xml:space="preserve">Signups Aug-26 vs Sep-25</t>
  </si>
  <si>
    <t xml:space="preserve">Signups annualised equivalent</t>
  </si>
  <si>
    <t xml:space="preserve">Share of reported Aug growth that is measurement</t>
  </si>
  <si>
    <t xml:space="preserve">Method: divide every month from Feb by k (flag in col C). Assumes the swap multiplied ALL sections by the same factor and did not change signups. Both are assumptions - see memo.</t>
  </si>
  <si>
    <t xml:space="preserve">Crypto Oct-25</t>
  </si>
  <si>
    <t xml:space="preserve">Crypto Nov-25</t>
  </si>
  <si>
    <t xml:space="preserve">Crypto Dec-25</t>
  </si>
  <si>
    <t xml:space="preserve">Neighbour mean (Oct, Dec)</t>
  </si>
  <si>
    <t xml:space="preserve">Nov excess sessions</t>
  </si>
  <si>
    <t xml:space="preserve">Excess as % of Crypto Nov</t>
  </si>
  <si>
    <t xml:space="preserve">Site total Nov</t>
  </si>
  <si>
    <t xml:space="preserve">Excess as % of site Nov</t>
  </si>
  <si>
    <t xml:space="preserve">Dec-25 vs neighbour trend: Dec - Oct</t>
  </si>
  <si>
    <t xml:space="preserve">Signups Nov</t>
  </si>
  <si>
    <t xml:space="preserve">Signups neighbour mean (Oct, Dec)</t>
  </si>
  <si>
    <t xml:space="preserve">Signup excess in Nov</t>
  </si>
  <si>
    <t xml:space="preserve">Excess sessions per excess signup</t>
  </si>
  <si>
    <t xml:space="preserve">Read: one month, back on trend in December, almost zero signups from about 14,000 extra sessions. Real readers, but a one-off and worth nothing to subscriber-priced slots.</t>
  </si>
  <si>
    <t xml:space="preserve">Articles: REAL data, 120 rows from the six TECHi section pages</t>
  </si>
  <si>
    <t xml:space="preserve">Scrape date:</t>
  </si>
  <si>
    <t xml:space="preserve">url</t>
  </si>
  <si>
    <t xml:space="preserve">section</t>
  </si>
  <si>
    <t xml:space="preserve">headline</t>
  </si>
  <si>
    <t xml:space="preserve">author</t>
  </si>
  <si>
    <t xml:space="preserve">date_shown</t>
  </si>
  <si>
    <t xml:space="preserve">headline_word_count</t>
  </si>
  <si>
    <t xml:space="preserve">format</t>
  </si>
  <si>
    <t xml:space="preserve">names_a_company</t>
  </si>
  <si>
    <t xml:space="preserve">contains_a_number</t>
  </si>
  <si>
    <t xml:space="preserve">date_parsed</t>
  </si>
  <si>
    <t xml:space="preserve">month_key</t>
  </si>
  <si>
    <t xml:space="preserve">ticker_type (keyword rule)</t>
  </si>
  <si>
    <t xml:space="preserve">https://www.techi.com/gumloop-ai-review/</t>
  </si>
  <si>
    <t xml:space="preserve">Gumloop AI review: powerful agents, complicated economics</t>
  </si>
  <si>
    <t xml:space="preserve">Jazib Zaman</t>
  </si>
  <si>
    <t xml:space="preserve">10 hours ago</t>
  </si>
  <si>
    <t xml:space="preserve">review</t>
  </si>
  <si>
    <t xml:space="preserve">https://www.techi.com/palantir-stock-forecast-october-2026-estimate-gap/</t>
  </si>
  <si>
    <t xml:space="preserve">Palantir Stock Forecast for October 2026: The Estimate Gap</t>
  </si>
  <si>
    <t xml:space="preserve">Fatimah Misbah Hussain</t>
  </si>
  <si>
    <t xml:space="preserve">2 days ago</t>
  </si>
  <si>
    <t xml:space="preserve">analysis</t>
  </si>
  <si>
    <t xml:space="preserve">https://www.techi.com/nvidia-vs-micron-buyback-hbm-earnings-2026/</t>
  </si>
  <si>
    <t xml:space="preserve">Nvidia vs Micron Ahead of Earnings: Buyback Capacity or HBM Growth?</t>
  </si>
  <si>
    <t xml:space="preserve">3 days ago</t>
  </si>
  <si>
    <t xml:space="preserve">https://www.techi.com/verusd-stablecoin-launch-ai-agent-commitments/</t>
  </si>
  <si>
    <t xml:space="preserve">verUSD Stablecoin Launch: What Verona’s $100M AI-Agent Commitments Mean</t>
  </si>
  <si>
    <t xml:space="preserve">Zoha Imdad Ali</t>
  </si>
  <si>
    <t xml:space="preserve">news</t>
  </si>
  <si>
    <t xml:space="preserve">https://www.techi.com/dc-circuit-pentagon-anthropic-supply-chain-ruling/</t>
  </si>
  <si>
    <t xml:space="preserve">D.C. Circuit upholds Pentagon’s Anthropic supply-chain exclusion</t>
  </si>
  <si>
    <t xml:space="preserve">Saba Javed</t>
  </si>
  <si>
    <t xml:space="preserve">4 days ago</t>
  </si>
  <si>
    <t xml:space="preserve">https://www.techi.com/nvidia-vs-tesla-stock-ai-trade-today/</t>
  </si>
  <si>
    <t xml:space="preserve">Nvidia vs Tesla Stock: Why NVDA Wins the AI Trade Today</t>
  </si>
  <si>
    <t xml:space="preserve">Omer Sheikh</t>
  </si>
  <si>
    <t xml:space="preserve">https://www.techi.com/openai-pauses-ai-model-training-agent-dns-sandbox/</t>
  </si>
  <si>
    <t xml:space="preserve">OpenAI Pauses AI Model Work After Agent Escapes Its Sandbox</t>
  </si>
  <si>
    <t xml:space="preserve">5 days ago</t>
  </si>
  <si>
    <t xml:space="preserve">https://www.techi.com/cerebras-lockup-expiration-cbrs-share-supply/</t>
  </si>
  <si>
    <t xml:space="preserve">Cerebras Lockup: 171M CBRS Shares Can Test a 34.5M IPO Float</t>
  </si>
  <si>
    <t xml:space="preserve">Umair Aslam</t>
  </si>
  <si>
    <t xml:space="preserve">26-Sep-26</t>
  </si>
  <si>
    <t xml:space="preserve">https://www.techi.com/akamai-anthropic-deal-capex-warrant-dilution/</t>
  </si>
  <si>
    <t xml:space="preserve">Akamai’s $11.6B Anthropic Deal Comes With $5.5B Capex</t>
  </si>
  <si>
    <t xml:space="preserve">25-Sep-26</t>
  </si>
  <si>
    <t xml:space="preserve">https://www.techi.com/nvidia-vs-palantir-stock-better-buy-now/</t>
  </si>
  <si>
    <t xml:space="preserve">Nvidia vs Palantir Stock: Which Is the Better Buy Now?</t>
  </si>
  <si>
    <t xml:space="preserve">https://www.techi.com/microsoft-copilot-home-code-autopilot-billing/</t>
  </si>
  <si>
    <t xml:space="preserve">Microsoft Copilot Rebuild Adds Home, Code and Autopilot</t>
  </si>
  <si>
    <t xml:space="preserve">https://www.techi.com/meta-vs-alphabet-stock-connect-valuation/</t>
  </si>
  <si>
    <t xml:space="preserve">Meta vs Alphabet Stock: 4.8-Point Split Before Connect</t>
  </si>
  <si>
    <t xml:space="preserve">23-Sep-26</t>
  </si>
  <si>
    <t xml:space="preserve">https://www.techi.com/palantir-stock-forecast-faa-smart-asi-contract/</t>
  </si>
  <si>
    <t xml:space="preserve">Palantir Stock Forecast: $225 Target Meets FAA Contract Reality</t>
  </si>
  <si>
    <t xml:space="preserve">https://www.techi.com/future-of-ai-and-humanity-next-15-years-risks/</t>
  </si>
  <si>
    <t xml:space="preserve">The Future of AI and Humanity: What Happens Next—and What Could Go Wrong</t>
  </si>
  <si>
    <t xml:space="preserve">22-Sep-26</t>
  </si>
  <si>
    <t xml:space="preserve">explainer</t>
  </si>
  <si>
    <t xml:space="preserve">https://www.techi.com/amd-stock-forecast-1-trillion-target-upside/</t>
  </si>
  <si>
    <t xml:space="preserve">AMD Stock Forecast After $1 Trillion: The Easy Upside Is Gone</t>
  </si>
  <si>
    <t xml:space="preserve">https://www.techi.com/arm-stock-forecast-17-percent-rally-target-gap/</t>
  </si>
  <si>
    <t xml:space="preserve">ARM Stock Forecast After a 17% Rally: The Target Gap Is the Risk</t>
  </si>
  <si>
    <t xml:space="preserve">https://www.techi.com/grok-4-7-price-benchmarks-agent-cost/</t>
  </si>
  <si>
    <t xml:space="preserve">Grok 4.7 Is Cheap. Its Real Cost Depends on How Many Steps It Takes</t>
  </si>
  <si>
    <t xml:space="preserve">https://www.techi.com/claude-leads-anthropic-ai-rd-recursive-ai/</t>
  </si>
  <si>
    <t xml:space="preserve">Claude Leads 26% of Anthropic’s AI R&amp;D. Is Recursive AI Starting?</t>
  </si>
  <si>
    <t xml:space="preserve">Qaiser Sultan</t>
  </si>
  <si>
    <t xml:space="preserve">21-Sep-26</t>
  </si>
  <si>
    <t xml:space="preserve">https://www.techi.com/meta-stock-jumps-muse-ai-downloads-rally/</t>
  </si>
  <si>
    <t xml:space="preserve">Why Meta Stock Jumped 11% on Muse AI — Is the Rally Priced In?</t>
  </si>
  <si>
    <t xml:space="preserve">https://www.techi.com/amazon-blocks-meta-muse-ai-shopping-agent/</t>
  </si>
  <si>
    <t xml:space="preserve">Amazon Blocks Meta’s Muse AI Agent From Shopping on Its Store</t>
  </si>
  <si>
    <t xml:space="preserve">Layloma Rashid</t>
  </si>
  <si>
    <t xml:space="preserve">https://www.techi.com/palantir-ai-growth-expectations-rising-2026/</t>
  </si>
  <si>
    <t xml:space="preserve">Palantir’s AI Growth Is Accelerating—but Expectations Are Rising</t>
  </si>
  <si>
    <t xml:space="preserve">1 day ago</t>
  </si>
  <si>
    <t xml:space="preserve">https://www.techi.com/amd-chip-selloff-input-costs-pricing-power/</t>
  </si>
  <si>
    <t xml:space="preserve">The chip selloff is picking sides, and AMD is on the wrong one</t>
  </si>
  <si>
    <t xml:space="preserve">19-Aug-26</t>
  </si>
  <si>
    <t xml:space="preserve">https://www.techi.com/tesla-cybercab-hardware-gap-fsd-owners/</t>
  </si>
  <si>
    <t xml:space="preserve">Tesla's robotaxi finally works. Just not on the cars it sold you</t>
  </si>
  <si>
    <t xml:space="preserve">https://www.techi.com/samsung-foundry-price-hike-losing-share/</t>
  </si>
  <si>
    <t xml:space="preserve">Samsung lost a third of its foundry share. It raised prices anyway</t>
  </si>
  <si>
    <t xml:space="preserve">https://www.techi.com/ether-price-first-half-2026/</t>
  </si>
  <si>
    <t xml:space="preserve">Reading the Ether Price After a Brutal First Half of 2026</t>
  </si>
  <si>
    <t xml:space="preserve">https://www.techi.com/intel-15-billion-stock-offering/</t>
  </si>
  <si>
    <t xml:space="preserve">Intel Just Asked Investors for $15 Billion. The Timing Is the Whole Story</t>
  </si>
  <si>
    <t xml:space="preserve">10-Aug-26</t>
  </si>
  <si>
    <t xml:space="preserve">https://www.techi.com/tesla-analyst-price-target-cuts-q2-2026-selloff/</t>
  </si>
  <si>
    <t xml:space="preserve">Tesla Crashed 14%. Wall Street's Targets Now Span $130 to $600</t>
  </si>
  <si>
    <t xml:space="preserve">24-Jul-26</t>
  </si>
  <si>
    <t xml:space="preserve">https://www.techi.com/palantir-stock-open-source-moat-test/</t>
  </si>
  <si>
    <t xml:space="preserve">Palantir Stock's 6% Drop Is a Moat Test Before August 3 Earnings</t>
  </si>
  <si>
    <t xml:space="preserve">23-Jul-26</t>
  </si>
  <si>
    <t xml:space="preserve">https://www.techi.com/nvidia-vera-rubin-coreweave-tokens-per-megawatt/</t>
  </si>
  <si>
    <t xml:space="preserve">NVIDIA’s 10× Vera Rubin result needs the missing math</t>
  </si>
  <si>
    <t xml:space="preserve">Fatima Fakhar</t>
  </si>
  <si>
    <t xml:space="preserve">21-Jul-26</t>
  </si>
  <si>
    <t xml:space="preserve">https://www.techi.com/tsmc-first-2nm-revenue-margin-test/</t>
  </si>
  <si>
    <t xml:space="preserve">TSM stock faces a 3–4 point margin test as TSMC’s first 2nm revenue arrives</t>
  </si>
  <si>
    <t xml:space="preserve">17-Jul-26</t>
  </si>
  <si>
    <t xml:space="preserve">https://www.techi.com/nrg-stock-pjm-capacity-earnings-exposure/</t>
  </si>
  <si>
    <t xml:space="preserve">NRG’s PJM capacity haul changes the earnings question</t>
  </si>
  <si>
    <t xml:space="preserve">Muhammad Zeshan Sarwar</t>
  </si>
  <si>
    <t xml:space="preserve">15-Jul-26</t>
  </si>
  <si>
    <t xml:space="preserve">https://www.techi.com/aehr-stock-backlog-conversion-test/</t>
  </si>
  <si>
    <t xml:space="preserve">AEHR Stock Rally Prices a Backlog Conversion Test</t>
  </si>
  <si>
    <t xml:space="preserve">Hazel Kaya</t>
  </si>
  <si>
    <t xml:space="preserve">https://www.techi.com/eose-q2-preliminary-results-margin-backlog/</t>
  </si>
  <si>
    <t xml:space="preserve">Eos Energy (EOSE): Q2 Backlog Record Still Has a Margin Hole</t>
  </si>
  <si>
    <t xml:space="preserve">https://www.techi.com/cleanspark-stock-ai-data-center-lease-capex/</t>
  </si>
  <si>
    <t xml:space="preserve">CleanSpark’s $6.6 Billion Lease Has a $2.1 Billion Question</t>
  </si>
  <si>
    <t xml:space="preserve">14-Jul-26</t>
  </si>
  <si>
    <t xml:space="preserve">https://www.techi.com/slb-liberty-ai-data-center-power-alliance/</t>
  </si>
  <si>
    <t xml:space="preserve">SLB’s AI Data Center Alliance Has One Big Missing Number</t>
  </si>
  <si>
    <t xml:space="preserve">https://www.techi.com/ai-memory-equipment/</t>
  </si>
  <si>
    <t xml:space="preserve">Who Gets Paid When AI Needs More Memory? A Field Guide to the Toolmakers</t>
  </si>
  <si>
    <t xml:space="preserve">13-Jul-26</t>
  </si>
  <si>
    <t xml:space="preserve">https://www.techi.com/asml-stock-second-half-delivery-test/</t>
  </si>
  <si>
    <t xml:space="preserve">ASML Stock Faces an €18B–€23B Second-Half Delivery Test</t>
  </si>
  <si>
    <t xml:space="preserve">https://www.techi.com/strategy-mstr-stock-sales-no-bitcoin-july-2026/</t>
  </si>
  <si>
    <t xml:space="preserve">Strategy Raises $466.7M From MSTR Stock, Buys No Bitcoin</t>
  </si>
  <si>
    <t xml:space="preserve">https://www.techi.com/spacex-stock-fall-spcx-nasdaq-100-lockup/</t>
  </si>
  <si>
    <t xml:space="preserve">SpaceX Stock Hit an All-Time Low a Day After Joining the Nasdaq-100</t>
  </si>
  <si>
    <t xml:space="preserve">9-Jul-26</t>
  </si>
  <si>
    <t xml:space="preserve">https://www.techi.com/lumentum-stock-lite-ai-optics-2026/</t>
  </si>
  <si>
    <t xml:space="preserve">Why Lumentum Stock Is Up 115% in 2026 — and Jumped 12% on Meta's AI Memo</t>
  </si>
  <si>
    <t xml:space="preserve">https://www.techi.com/clarity-act-senate-cloture-vote-trump-ethics-bernstein/</t>
  </si>
  <si>
    <t xml:space="preserve">CLARITY Act gets Trump's ethics deal and a Tuesday vote. Bernstein: a pass isn't priced in</t>
  </si>
  <si>
    <t xml:space="preserve">Nouman S. Ghumman</t>
  </si>
  <si>
    <t xml:space="preserve">12 hours ago</t>
  </si>
  <si>
    <t xml:space="preserve">https://www.techi.com/eth-futures-ethereum-future-treasury-yield/</t>
  </si>
  <si>
    <t xml:space="preserve">What ETH futures say about Ethereum's future: a Treasury-bill rate</t>
  </si>
  <si>
    <t xml:space="preserve">https://www.techi.com/zcash-zec-price-rally-nu7-supply-vote/</t>
  </si>
  <si>
    <t xml:space="preserve">Zcash (ZEC) rally meets NU7 vote on future coin issuance</t>
  </si>
  <si>
    <t xml:space="preserve">https://www.techi.com/bitcoin-golden-cross-fed-rate-hike/</t>
  </si>
  <si>
    <t xml:space="preserve">Bitcoin’s golden cross faces Fed rate-hike risk</t>
  </si>
  <si>
    <t xml:space="preserve">https://www.techi.com/us-sanctions-shelbit-aban-tether-iran-crypto/</t>
  </si>
  <si>
    <t xml:space="preserve">US sanctions two crypto exchanges over Iran-linked money flows</t>
  </si>
  <si>
    <t xml:space="preserve">9-Aug-26</t>
  </si>
  <si>
    <t xml:space="preserve">https://www.techi.com/akash-akt-ai-compute-value-capture/</t>
  </si>
  <si>
    <t xml:space="preserve">Akash Runs Real AI Compute. AKT Can't Prove It Captures the Value.</t>
  </si>
  <si>
    <t xml:space="preserve">https://www.techi.com/spot-tao-etf-bittensor-subnet-exposure-gap/</t>
  </si>
  <si>
    <t xml:space="preserve">Grayscale's TAO ETF Can't Stake — Its Own Filing Says So</t>
  </si>
  <si>
    <t xml:space="preserve">https://www.techi.com/coinbase-x402-agent-payments-merchant-side/</t>
  </si>
  <si>
    <t xml:space="preserve">Coinbase Let Agents Pay Merchants. The Ledger Says Go Slow</t>
  </si>
  <si>
    <t xml:space="preserve">https://www.techi.com/worldcoin-wld-unlock-rate-43-percent-july-2026/</t>
  </si>
  <si>
    <t xml:space="preserve">Worldcoin WLD Unlock Cut: What Changes July 24</t>
  </si>
  <si>
    <t xml:space="preserve">Warisha Rashid</t>
  </si>
  <si>
    <t xml:space="preserve">12-Jul-26</t>
  </si>
  <si>
    <t xml:space="preserve">https://www.techi.com/what-makes-a-good-crypto-trading-platform/</t>
  </si>
  <si>
    <t xml:space="preserve">What Actually Makes a Good Crypto Trading Platform in 2026</t>
  </si>
  <si>
    <t xml:space="preserve">2-Jul-26</t>
  </si>
  <si>
    <t xml:space="preserve">guide</t>
  </si>
  <si>
    <t xml:space="preserve">https://www.techi.com/inside-the-roblox-limiteds-economy/</t>
  </si>
  <si>
    <t xml:space="preserve">Inside the Roblox Limiteds Economy: How Virtual Collectibles Became Real Money</t>
  </si>
  <si>
    <t xml:space="preserve">30-Jun-26</t>
  </si>
  <si>
    <t xml:space="preserve">https://www.techi.com/why-bitcoin-is-falling-crypto-market-scenarios-june-2026/</t>
  </si>
  <si>
    <t xml:space="preserve">Why Bitcoin Is Falling So Hard, and Which Altcoins Are Holding Up</t>
  </si>
  <si>
    <t xml:space="preserve">3-Jun-26</t>
  </si>
  <si>
    <t xml:space="preserve">https://www.techi.com/bitcoin-77k-fear-machine/</t>
  </si>
  <si>
    <t xml:space="preserve">Bitcoin's $77K Fear Machine: How Crypto Fear Went Universal</t>
  </si>
  <si>
    <t xml:space="preserve">20-May-26</t>
  </si>
  <si>
    <t xml:space="preserve">https://www.techi.com/fet-crypto-price-agent-payment-gap-asi-token/</t>
  </si>
  <si>
    <t xml:space="preserve">FET Crypto Price: The Agent-Payment Gap Behind the ASI Rebound</t>
  </si>
  <si>
    <t xml:space="preserve">14-May-26</t>
  </si>
  <si>
    <t xml:space="preserve">https://www.techi.com/polygon-pol-price-analysis-ex-matic-payments/</t>
  </si>
  <si>
    <t xml:space="preserve">Polygon POL Price Analysis: Ex-MATIC Tests Payments Re-Rating</t>
  </si>
  <si>
    <t xml:space="preserve">7-May-26</t>
  </si>
  <si>
    <t xml:space="preserve">https://www.techi.com/solana-pay-sh-ai-agent-payments/</t>
  </si>
  <si>
    <t xml:space="preserve">Solana Just Became the Wallet for AI Agents</t>
  </si>
  <si>
    <t xml:space="preserve">6-May-26</t>
  </si>
  <si>
    <t xml:space="preserve">https://www.techi.com/mstr-stock-strategy-34164-btc-overtakes-blackrock/</t>
  </si>
  <si>
    <t xml:space="preserve">MicroStrategy Stock (MSTR) Buys 34,164 BTC for $2.54B — Overtakes BlackRock IBIT</t>
  </si>
  <si>
    <t xml:space="preserve">20-Apr-26</t>
  </si>
  <si>
    <t xml:space="preserve">https://www.techi.com/xrp-price-breakout-analysis/</t>
  </si>
  <si>
    <t xml:space="preserve">XRP Touched $1.50 for the First Time in 2026. The Pullback Isn't the Story.</t>
  </si>
  <si>
    <t xml:space="preserve">18-Apr-26</t>
  </si>
  <si>
    <t xml:space="preserve">https://www.techi.com/meta-29-state-trial-advisory-jury-remedy-risk/</t>
  </si>
  <si>
    <t xml:space="preserve">The Meta trial's real risk isn't the $1.4 trillion. It's the judge</t>
  </si>
  <si>
    <t xml:space="preserve">https://www.techi.com/nvidia-h200-china-shipments-below-licence-ceiling/</t>
  </si>
  <si>
    <t xml:space="preserve">Nvidia's H200s are flowing to China again, at 13% of the legal limit</t>
  </si>
  <si>
    <t xml:space="preserve">Dr Layloma Rashid</t>
  </si>
  <si>
    <t xml:space="preserve">https://www.techi.com/anthropic-model-2-risk-report-misalignment-estimate/</t>
  </si>
  <si>
    <t xml:space="preserve">Anthropic’s Model 2 Is Stronger. That Isn’t Why the Risk Label Changed</t>
  </si>
  <si>
    <t xml:space="preserve">14-Aug-26</t>
  </si>
  <si>
    <t xml:space="preserve">https://www.techi.com/x-original-content-rewards-premium-impressions/</t>
  </si>
  <si>
    <t xml:space="preserve">X will pay for original posts. Only Premium views count</t>
  </si>
  <si>
    <t xml:space="preserve">https://www.techi.com/openai-astra-critical-cyber-capability-proof/</t>
  </si>
  <si>
    <t xml:space="preserve">OpenAI's Astra may be 'Critical.' The proof is still private</t>
  </si>
  <si>
    <t xml:space="preserve">https://www.techi.com/ftc-ai-accuracy-deception-state-law/</t>
  </si>
  <si>
    <t xml:space="preserve">The FTC Says Complying With State AI Laws Can Still Be Illegal</t>
  </si>
  <si>
    <t xml:space="preserve">25-Jul-26</t>
  </si>
  <si>
    <t xml:space="preserve">https://www.techi.com/ai-agent-market-concentration-antitrust/</t>
  </si>
  <si>
    <t xml:space="preserve">Three firms hold 84% of AI agents. France just drew a line.</t>
  </si>
  <si>
    <t xml:space="preserve">https://www.techi.com/eu-ai-act-omnibus-deadline-map/</t>
  </si>
  <si>
    <t xml:space="preserve">The AI omnibus moved every deadline except the ones due next month</t>
  </si>
  <si>
    <t xml:space="preserve">https://www.techi.com/eu-ai-act-gpai-enforcement-august-2026/</t>
  </si>
  <si>
    <t xml:space="preserve">EU AI Act GPAI Enforcement Begins August 2. Who Is Exposed?</t>
  </si>
  <si>
    <t xml:space="preserve">https://www.techi.com/eu-ai-act-ai-agents-disclose-who-sent-them/</t>
  </si>
  <si>
    <t xml:space="preserve">EU AI Act Makes AI Agents Say Who Sent Them</t>
  </si>
  <si>
    <t xml:space="preserve">https://www.techi.com/eu-google-ai-interoperability-android-dma/</t>
  </si>
  <si>
    <t xml:space="preserve">EU Opens 11 Android Features to Rival AI Assistants</t>
  </si>
  <si>
    <t xml:space="preserve">https://www.techi.com/openai-chatgpt-teen-alerts-violent-activity-bans/</t>
  </si>
  <si>
    <t xml:space="preserve">OpenAI’s New Teen Alert Comes After a ChatGPT Account Ban</t>
  </si>
  <si>
    <t xml:space="preserve">16-Jul-26</t>
  </si>
  <si>
    <t xml:space="preserve">https://www.techi.com/uk-ai-data-regulation-public-data-pricing/</t>
  </si>
  <si>
    <t xml:space="preserve">Britain’s AI Data Review Opens a Public-Data Pricing Fight</t>
  </si>
  <si>
    <t xml:space="preserve">https://www.techi.com/uk-ai-battle-lab-army-training-data-loop/</t>
  </si>
  <si>
    <t xml:space="preserve">UK AI Battle Lab Turns Army Training Into a Data Loop</t>
  </si>
  <si>
    <t xml:space="preserve">https://www.techi.com/asml-china-euv-export-scrutiny-stock/</t>
  </si>
  <si>
    <t xml:space="preserve">Washington Thinks China Has ASML's Best Machine. ASML Says It's Impossible.</t>
  </si>
  <si>
    <t xml:space="preserve">19-Jun-26</t>
  </si>
  <si>
    <t xml:space="preserve">https://www.techi.com/ai-progress-next-10-years-forecast/</t>
  </si>
  <si>
    <t xml:space="preserve">AI progress so far, and the next 10 years that matter</t>
  </si>
  <si>
    <t xml:space="preserve">28-May-26</t>
  </si>
  <si>
    <t xml:space="preserve">https://www.techi.com/starlink-availability-country-map/</t>
  </si>
  <si>
    <t xml:space="preserve">Starlink's Real Moat Is the Country Map, Not Space</t>
  </si>
  <si>
    <t xml:space="preserve">18-May-26</t>
  </si>
  <si>
    <t xml:space="preserve">https://www.techi.com/tesla-semi-fleet-orders-trucking-margin-stock/</t>
  </si>
  <si>
    <t xml:space="preserve">Tesla Semi momentum: fleet orders test a $1 trillion market</t>
  </si>
  <si>
    <t xml:space="preserve">16-May-26</t>
  </si>
  <si>
    <t xml:space="preserve">https://www.techi.com/tesla-stock-trump-china-meeting-premium/</t>
  </si>
  <si>
    <t xml:space="preserve">Tesla Stock: The China Meeting Premium Is Back</t>
  </si>
  <si>
    <t xml:space="preserve">https://www.techi.com/ai-jobs-career-ladder-tech-intelligence/</t>
  </si>
  <si>
    <t xml:space="preserve">AI’s Real Job Shock Is the Missing Rung</t>
  </si>
  <si>
    <t xml:space="preserve">9-May-26</t>
  </si>
  <si>
    <t xml:space="preserve">https://www.techi.com/spacex-ussf-385-launch-today-classified-mission/</t>
  </si>
  <si>
    <t xml:space="preserve">SpaceX USSF-385 Launch Today: What’s Confirmed About the Secret Mission</t>
  </si>
  <si>
    <t xml:space="preserve">https://www.techi.com/ionq-stock-nvidia-quantum-deal-rally-fades/</t>
  </si>
  <si>
    <t xml:space="preserve">IONQ Stock Jumps on Nvidia Deal, Then Gives Back Most Gains</t>
  </si>
  <si>
    <t xml:space="preserve">https://www.techi.com/nvidia-stock-einride-autonomous-trucking-hyperion/</t>
  </si>
  <si>
    <t xml:space="preserve">Nvidia Stock Gets a Fresh Autonomous Trucking Catalyst From Einride</t>
  </si>
  <si>
    <t xml:space="preserve">Naba Fatima</t>
  </si>
  <si>
    <t xml:space="preserve">https://www.techi.com/tesla-robotaxi-productive-hours-tsla-valuation/</t>
  </si>
  <si>
    <t xml:space="preserve">Tesla Robotaxi’s Missing KPI Could Decide TSLA’s Valuation</t>
  </si>
  <si>
    <t xml:space="preserve">20-Sep-26</t>
  </si>
  <si>
    <t xml:space="preserve">https://www.techi.com/ai-chip-materials-synthesis-bottleneck/</t>
  </si>
  <si>
    <t xml:space="preserve">AI agents logged 526 chip-material candidates. One recipe passed the screen</t>
  </si>
  <si>
    <t xml:space="preserve">https://www.techi.com/supernatural-vr-fitness-reboot-3000-workouts/</t>
  </si>
  <si>
    <t xml:space="preserve">Supernatural’s VR fitness reboot aims to restore 3,000 workouts</t>
  </si>
  <si>
    <t xml:space="preserve">https://www.techi.com/ai-camouflage-surveillance-camera-test-proof/</t>
  </si>
  <si>
    <t xml:space="preserve">AI camouflage reportedly passed one camera test. Proof is still thin</t>
  </si>
  <si>
    <t xml:space="preserve">https://www.techi.com/firebird-armenia-ai-factory-300mw-roadmap/</t>
  </si>
  <si>
    <t xml:space="preserve">Firebird's Armenia AI factory is live. The 300 MW promise is not</t>
  </si>
  <si>
    <t xml:space="preserve">https://www.techi.com/microsoft-mistral-europe-gpu-compute-supply/</t>
  </si>
  <si>
    <t xml:space="preserve">Microsoft Is Now Buying Mistral's Compute, Not Selling It</t>
  </si>
  <si>
    <t xml:space="preserve">https://www.techi.com/korea-sovereign-ai-factory-naver-nvidia-financing/</t>
  </si>
  <si>
    <t xml:space="preserve">Korea's sovereign AI factory is really a $10B financing story</t>
  </si>
  <si>
    <t xml:space="preserve">https://www.techi.com/flux-3-multimodal-image-video-audio-action/</t>
  </si>
  <si>
    <t xml:space="preserve">Black Forest Labs' FLUX 3 Folds Robotics Into One AI Model</t>
  </si>
  <si>
    <t xml:space="preserve">https://www.techi.com/google-ironwood-tpu-no-public-price/</t>
  </si>
  <si>
    <t xml:space="preserve">Google's Ironwood TPU Still Has No Public Price, Three Months After Launch</t>
  </si>
  <si>
    <t xml:space="preserve">https://www.techi.com/z-ai-gigawatt-chinese-chips-data-center/</t>
  </si>
  <si>
    <t xml:space="preserve">Z.ai built a gigawatt of AI compute with no Nvidia inside</t>
  </si>
  <si>
    <t xml:space="preserve">https://www.techi.com/amd-cerebras-disaggregated-inference-5x-claim/</t>
  </si>
  <si>
    <t xml:space="preserve">AMD and Cerebras Split AI Inference in Two — Read the Footnote</t>
  </si>
  <si>
    <t xml:space="preserve">https://www.techi.com/amazon-trainium-20-billion-supply-contract/</t>
  </si>
  <si>
    <t xml:space="preserve">Amazon's $20B chip pace turns AI capacity into a supply contract</t>
  </si>
  <si>
    <t xml:space="preserve">https://www.techi.com/llama-cpp-b10075-local-ai-agent-runtime/</t>
  </si>
  <si>
    <t xml:space="preserve">llama.cpp b10075 Packs Four Local AI Runtime Upgrades</t>
  </si>
  <si>
    <t xml:space="preserve">https://www.techi.com/fenghe-open-source-weather-ai-evidence-gap/</t>
  </si>
  <si>
    <t xml:space="preserve">Fenghe Is Open Source. Its Forecasting Proof Is Not.</t>
  </si>
  <si>
    <t xml:space="preserve">18-Jul-26</t>
  </si>
  <si>
    <t xml:space="preserve">https://www.techi.com/crewai-1-15-3-execution-hooks-agent-control/</t>
  </si>
  <si>
    <t xml:space="preserve">CrewAI 1.15.3 Puts Control Hooks Inside AI Agent Runs</t>
  </si>
  <si>
    <t xml:space="preserve">https://www.techi.com/jax-0-11-0-remat-checkpoint-policies/</t>
  </si>
  <si>
    <t xml:space="preserve">JAX 0.11.0 Makes AI Training Memory Policy Programmable</t>
  </si>
  <si>
    <t xml:space="preserve">https://www.techi.com/asml-high-na-euv-intel-18a-ai-chip-readiness/</t>
  </si>
  <si>
    <t xml:space="preserve">ASML’s High-NA Milestone Is an AI-Chip Bridge</t>
  </si>
  <si>
    <t xml:space="preserve">https://www.techi.com/claude-code-auto-mode-default-11-percent-miss-rate/</t>
  </si>
  <si>
    <t xml:space="preserve">Claude Code will default to auto mode despite an 11% test miss rate</t>
  </si>
  <si>
    <t xml:space="preserve">https://www.techi.com/meta-ai-email-calendar-agent-permissions/</t>
  </si>
  <si>
    <t xml:space="preserve">What Meta AI’s Email and Calendar Agent Actually Changes</t>
  </si>
  <si>
    <t xml:space="preserve">27-Jul-26</t>
  </si>
  <si>
    <t xml:space="preserve">https://www.techi.com/deepseek-chat-reasoner-retirement-v4-migration/</t>
  </si>
  <si>
    <t xml:space="preserve">DeepSeek's legacy model names retire today, and the easy fix has a catch</t>
  </si>
  <si>
    <t xml:space="preserve">https://www.techi.com/openai-presence-enterprise-agents-buyer-checklist/</t>
  </si>
  <si>
    <t xml:space="preserve">OpenAI Presence sells trusted agents. Here is the buyer's checklist</t>
  </si>
  <si>
    <t xml:space="preserve">https://www.techi.com/harness-agent-dlc-ai-release-governance/</t>
  </si>
  <si>
    <t xml:space="preserve">Harness Agent DLC Puts AI Releases Under One Change Record</t>
  </si>
  <si>
    <t xml:space="preserve">Ayesha Riaz</t>
  </si>
  <si>
    <t xml:space="preserve">https://www.techi.com/claude-code-update-agent-permissions-worktree-isolation/</t>
  </si>
  <si>
    <t xml:space="preserve">Claude Code 2.1.216 Tests Whether Agent Permissions Survive the Handoff</t>
  </si>
  <si>
    <t xml:space="preserve">20-Jul-26</t>
  </si>
  <si>
    <t xml:space="preserve">https://www.techi.com/cline-cli-3-0-45-ai-agent-install-size/</t>
  </si>
  <si>
    <t xml:space="preserve">Cline CLI 3.0.45 cuts install footprint by unbundling AI providers</t>
  </si>
  <si>
    <t xml:space="preserve">19-Jul-26</t>
  </si>
  <si>
    <t xml:space="preserve">https://www.techi.com/xinference-3-default-auth-air-gapped-ai-serving/</t>
  </si>
  <si>
    <t xml:space="preserve">Xinference 3.0's Biggest AI Upgrade Is a 401 Error</t>
  </si>
  <si>
    <t xml:space="preserve">https://www.techi.com/grok-bedrock-portability-retention-regions/</t>
  </si>
  <si>
    <t xml:space="preserve">Grok on Amazon Bedrock Has an Enterprise Portability Catch</t>
  </si>
  <si>
    <t xml:space="preserve">https://www.techi.com/llama-cpp-intel-battlemage-flash-attention-benchmark/</t>
  </si>
  <si>
    <t xml:space="preserve">llama.cpp's 4.26× Intel Gain Has a Narrow Catch</t>
  </si>
  <si>
    <t xml:space="preserve">https://www.techi.com/google-qwen3-5-ironwood-software-codesign-speedup/</t>
  </si>
  <si>
    <t xml:space="preserve">Qwen3.5 on Ironwood: What Google’s 4.7x Gain Proves</t>
  </si>
  <si>
    <t xml:space="preserve">https://www.techi.com/nsa-router-security-checklist-enterprise-networks/</t>
  </si>
  <si>
    <t xml:space="preserve">NSA Router Security Checklist for Enterprise Networks</t>
  </si>
  <si>
    <t xml:space="preserve">https://www.techi.com/what-is-an-ma-advisory/</t>
  </si>
  <si>
    <t xml:space="preserve">What Is an M&amp;A Advisory?</t>
  </si>
  <si>
    <t xml:space="preserve">https://www.techi.com/best-ai-security-platforms-enterprise/</t>
  </si>
  <si>
    <t xml:space="preserve">Best AI Security Platforms for Enterprise in 2026</t>
  </si>
  <si>
    <t xml:space="preserve">https://www.techi.com/grok-build-xai-coding-agent/</t>
  </si>
  <si>
    <t xml:space="preserve">Grok Build turns xAI into an AI coding-agent contender</t>
  </si>
  <si>
    <t xml:space="preserve">26-May-26</t>
  </si>
  <si>
    <t xml:space="preserve">https://www.techi.com/2026-ai-trading-bot-guide-free-stock-trading-tools/</t>
  </si>
  <si>
    <t xml:space="preserve">2026 AI Trading Bot Guide: 8 Free Stock Trading Tools Retail Traders Are Using</t>
  </si>
  <si>
    <t xml:space="preserve">Guest Author</t>
  </si>
  <si>
    <t xml:space="preserve">https://www.techi.com/best-cybersecurity-books/</t>
  </si>
  <si>
    <t xml:space="preserve">29 Best Cybersecurity Books Worth Reading in 2026</t>
  </si>
  <si>
    <t xml:space="preserve">31-Mar-26</t>
  </si>
  <si>
    <t xml:space="preserve">https://www.techi.com/crypto-platform-seo-challenges-and-solutions/</t>
  </si>
  <si>
    <t xml:space="preserve">The Hidden SEO Challenges of Crypto Platforms And How to Overcome Them</t>
  </si>
  <si>
    <t xml:space="preserve">12-Mar-26</t>
  </si>
  <si>
    <t xml:space="preserve">https://www.techi.com/top-network-security-companies/</t>
  </si>
  <si>
    <t xml:space="preserve">Top 5 Network Security Companies Every Business Should Know</t>
  </si>
  <si>
    <t xml:space="preserve">Muhammad Saqib</t>
  </si>
  <si>
    <t xml:space="preserve">11-Mar-26</t>
  </si>
  <si>
    <t xml:space="preserve">Rows</t>
  </si>
  <si>
    <t xml:space="preserve">Oldest (of 20 newest)</t>
  </si>
  <si>
    <t xml:space="preserve">Newest</t>
  </si>
  <si>
    <t xml:space="preserve">Window (days before scrape)</t>
  </si>
  <si>
    <t xml:space="preserve">Days since newest</t>
  </si>
  <si>
    <t xml:space="preserve">Ticker-type headlines (of 20)</t>
  </si>
  <si>
    <t xml:space="preserve">Guides-style format ('guide')</t>
  </si>
  <si>
    <t xml:space="preserve">Unique to this section (not also in another)</t>
  </si>
  <si>
    <t xml:space="preserve">Reading: the AI 20 newest cover 12 days, the Guides 20 cover 206. Section windows are not comparable. 3 URLs appear under two sections.</t>
  </si>
  <si>
    <t xml:space="preserve">Guides sessions (reported)</t>
  </si>
  <si>
    <t xml:space="preserve">Guides sessions (adjusted, central k)</t>
  </si>
  <si>
    <t xml:space="preserve">Articles listed in Guides</t>
  </si>
  <si>
    <t xml:space="preserve">Signups MoM change</t>
  </si>
  <si>
    <t xml:space="preserve">Site share (reported)</t>
  </si>
  <si>
    <t xml:space="preserve">Mar counts 11-31 Mar only (oldest Guides row is 11 Mar). Apr-Aug complete. Note Apr: sessions -2,755 while signup gain stayed +30 (on trend).</t>
  </si>
  <si>
    <t xml:space="preserve">Guides adjusted, Mar -&gt; Aug</t>
  </si>
  <si>
    <t xml:space="preserve">Guides share of reported sessions: Sep-25 / Aug-26</t>
  </si>
  <si>
    <t xml:space="preserve">Check</t>
  </si>
  <si>
    <t xml:space="preserve">Result</t>
  </si>
  <si>
    <t xml:space="preserve">Expected</t>
  </si>
  <si>
    <t xml:space="preserve">Rows in Articles</t>
  </si>
  <si>
    <t xml:space="preserve">Blank cells in 9 columns</t>
  </si>
  <si>
    <t xml:space="preserve">Headline word count != column F (recomputed)</t>
  </si>
  <si>
    <t xml:space="preserve">contains_a_number != any digit in headline</t>
  </si>
  <si>
    <t xml:space="preserve">Duplicate URLs (cross-listed articles)</t>
  </si>
  <si>
    <t xml:space="preserve">Unique URLs</t>
  </si>
  <si>
    <t xml:space="preserve">Reported Aug/Sep ratio check vs analysis.py (0.788)</t>
  </si>
  <si>
    <t xml:space="preserve">Underlying central vs analysis.py (0.239)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</si>
</sst>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"/>
    <numFmt numFmtId="167" formatCode="0.0%"/>
    <numFmt numFmtId="168" formatCode="0.0\x"/>
    <numFmt numFmtId="169" formatCode="0.000"/>
    <numFmt numFmtId="170" formatCode="dd\-mmm\-yy"/>
    <numFmt numFmtId="171" formatCode="yyyy\-mm\-dd"/>
    <numFmt numFmtId="172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2" t="s">
        <v>1</v>
      </c>
    </row>
    <row r="3" customFormat="false" ht="15" hidden="false" customHeight="true" outlineLevel="0" collapsed="false">
      <c r="A3" s="2" t="s">
        <v>2</v>
      </c>
    </row>
    <row r="4" customFormat="false" ht="15" hidden="false" customHeight="true" outlineLevel="0" collapsed="false">
      <c r="A4" s="2" t="s">
        <v>3</v>
      </c>
    </row>
    <row r="5" customFormat="false" ht="15" hidden="false" customHeight="true" outlineLevel="0" collapsed="false">
      <c r="A5" s="2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13" min="2" style="1" width="14"/>
  </cols>
  <sheetData>
    <row r="1" customFormat="false" ht="45" hidden="false" customHeight="true" outlineLevel="0" collapsed="false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</row>
    <row r="2" customFormat="false" ht="15" hidden="false" customHeight="true" outlineLevel="0" collapsed="false">
      <c r="A2" s="4" t="s">
        <v>18</v>
      </c>
      <c r="B2" s="5" t="n">
        <v>18400</v>
      </c>
      <c r="C2" s="5" t="n">
        <v>12200</v>
      </c>
      <c r="D2" s="5" t="n">
        <v>9800</v>
      </c>
      <c r="E2" s="5" t="n">
        <v>7600</v>
      </c>
      <c r="F2" s="5" t="n">
        <v>5400</v>
      </c>
      <c r="G2" s="5" t="n">
        <v>4100</v>
      </c>
      <c r="H2" s="5" t="n">
        <v>820</v>
      </c>
      <c r="I2" s="4" t="n">
        <v>0</v>
      </c>
      <c r="J2" s="6" t="n">
        <f aca="false">SUM(B2:G2)</f>
        <v>57500</v>
      </c>
      <c r="K2" s="6" t="n">
        <f aca="false">SUM(B2:F2)</f>
        <v>53400</v>
      </c>
      <c r="L2" s="7" t="n">
        <f aca="false">J2/H2</f>
        <v>70.1219512195122</v>
      </c>
    </row>
    <row r="3" customFormat="false" ht="15" hidden="false" customHeight="true" outlineLevel="0" collapsed="false">
      <c r="A3" s="4" t="s">
        <v>19</v>
      </c>
      <c r="B3" s="5" t="n">
        <v>19100</v>
      </c>
      <c r="C3" s="5" t="n">
        <v>12500</v>
      </c>
      <c r="D3" s="5" t="n">
        <v>10100</v>
      </c>
      <c r="E3" s="5" t="n">
        <v>7800</v>
      </c>
      <c r="F3" s="5" t="n">
        <v>5500</v>
      </c>
      <c r="G3" s="5" t="n">
        <v>4000</v>
      </c>
      <c r="H3" s="5" t="n">
        <v>840</v>
      </c>
      <c r="I3" s="4" t="n">
        <v>0</v>
      </c>
      <c r="J3" s="6" t="n">
        <f aca="false">SUM(B3:G3)</f>
        <v>59000</v>
      </c>
      <c r="K3" s="6" t="n">
        <f aca="false">SUM(B3:F3)</f>
        <v>55000</v>
      </c>
      <c r="L3" s="7" t="n">
        <f aca="false">J3/H3</f>
        <v>70.2380952380952</v>
      </c>
      <c r="M3" s="8" t="n">
        <f aca="false">J3/J2-1</f>
        <v>0.0260869565217392</v>
      </c>
    </row>
    <row r="4" customFormat="false" ht="15" hidden="false" customHeight="true" outlineLevel="0" collapsed="false">
      <c r="A4" s="4" t="s">
        <v>20</v>
      </c>
      <c r="B4" s="5" t="n">
        <v>19800</v>
      </c>
      <c r="C4" s="5" t="n">
        <v>12800</v>
      </c>
      <c r="D4" s="5" t="n">
        <v>24800</v>
      </c>
      <c r="E4" s="5" t="n">
        <v>8100</v>
      </c>
      <c r="F4" s="5" t="n">
        <v>5600</v>
      </c>
      <c r="G4" s="5" t="n">
        <v>3900</v>
      </c>
      <c r="H4" s="5" t="n">
        <v>860</v>
      </c>
      <c r="I4" s="4" t="n">
        <v>0</v>
      </c>
      <c r="J4" s="6" t="n">
        <f aca="false">SUM(B4:G4)</f>
        <v>75000</v>
      </c>
      <c r="K4" s="6" t="n">
        <f aca="false">SUM(B4:F4)</f>
        <v>71100</v>
      </c>
      <c r="L4" s="7" t="n">
        <f aca="false">J4/H4</f>
        <v>87.2093023255814</v>
      </c>
      <c r="M4" s="8" t="n">
        <f aca="false">J4/J3-1</f>
        <v>0.271186440677966</v>
      </c>
    </row>
    <row r="5" customFormat="false" ht="15" hidden="false" customHeight="true" outlineLevel="0" collapsed="false">
      <c r="A5" s="4" t="s">
        <v>21</v>
      </c>
      <c r="B5" s="5" t="n">
        <v>20500</v>
      </c>
      <c r="C5" s="5" t="n">
        <v>13100</v>
      </c>
      <c r="D5" s="5" t="n">
        <v>11000</v>
      </c>
      <c r="E5" s="5" t="n">
        <v>8300</v>
      </c>
      <c r="F5" s="5" t="n">
        <v>5700</v>
      </c>
      <c r="G5" s="5" t="n">
        <v>3800</v>
      </c>
      <c r="H5" s="5" t="n">
        <v>890</v>
      </c>
      <c r="I5" s="4" t="n">
        <v>0</v>
      </c>
      <c r="J5" s="6" t="n">
        <f aca="false">SUM(B5:G5)</f>
        <v>62400</v>
      </c>
      <c r="K5" s="6" t="n">
        <f aca="false">SUM(B5:F5)</f>
        <v>58600</v>
      </c>
      <c r="L5" s="7" t="n">
        <f aca="false">J5/H5</f>
        <v>70.1123595505618</v>
      </c>
      <c r="M5" s="8" t="n">
        <f aca="false">J5/J4-1</f>
        <v>-0.168</v>
      </c>
    </row>
    <row r="6" customFormat="false" ht="15" hidden="false" customHeight="true" outlineLevel="0" collapsed="false">
      <c r="A6" s="4" t="s">
        <v>22</v>
      </c>
      <c r="B6" s="5" t="n">
        <v>21200</v>
      </c>
      <c r="C6" s="5" t="n">
        <v>13400</v>
      </c>
      <c r="D6" s="5" t="n">
        <v>11400</v>
      </c>
      <c r="E6" s="5" t="n">
        <v>8500</v>
      </c>
      <c r="F6" s="5" t="n">
        <v>5800</v>
      </c>
      <c r="G6" s="5" t="n">
        <v>3700</v>
      </c>
      <c r="H6" s="5" t="n">
        <v>920</v>
      </c>
      <c r="I6" s="4" t="n">
        <v>0</v>
      </c>
      <c r="J6" s="6" t="n">
        <f aca="false">SUM(B6:G6)</f>
        <v>64000</v>
      </c>
      <c r="K6" s="6" t="n">
        <f aca="false">SUM(B6:F6)</f>
        <v>60300</v>
      </c>
      <c r="L6" s="7" t="n">
        <f aca="false">J6/H6</f>
        <v>69.5652173913043</v>
      </c>
      <c r="M6" s="8" t="n">
        <f aca="false">J6/J5-1</f>
        <v>0.0256410256410256</v>
      </c>
    </row>
    <row r="7" customFormat="false" ht="15" hidden="false" customHeight="true" outlineLevel="0" collapsed="false">
      <c r="A7" s="4" t="s">
        <v>23</v>
      </c>
      <c r="B7" s="5" t="n">
        <v>31610</v>
      </c>
      <c r="C7" s="5" t="n">
        <v>19865</v>
      </c>
      <c r="D7" s="5" t="n">
        <v>16820</v>
      </c>
      <c r="E7" s="5" t="n">
        <v>12615</v>
      </c>
      <c r="F7" s="5" t="n">
        <v>8555</v>
      </c>
      <c r="G7" s="5" t="n">
        <v>5220</v>
      </c>
      <c r="H7" s="5" t="n">
        <v>950</v>
      </c>
      <c r="I7" s="4" t="n">
        <v>1</v>
      </c>
      <c r="J7" s="6" t="n">
        <f aca="false">SUM(B7:G7)</f>
        <v>94685</v>
      </c>
      <c r="K7" s="6" t="n">
        <f aca="false">SUM(B7:F7)</f>
        <v>89465</v>
      </c>
      <c r="L7" s="7" t="n">
        <f aca="false">J7/H7</f>
        <v>99.6684210526316</v>
      </c>
      <c r="M7" s="8" t="n">
        <f aca="false">J7/J6-1</f>
        <v>0.479453125</v>
      </c>
    </row>
    <row r="8" customFormat="false" ht="15" hidden="false" customHeight="true" outlineLevel="0" collapsed="false">
      <c r="A8" s="4" t="s">
        <v>24</v>
      </c>
      <c r="B8" s="5" t="n">
        <v>32480</v>
      </c>
      <c r="C8" s="5" t="n">
        <v>20300</v>
      </c>
      <c r="D8" s="5" t="n">
        <v>17255</v>
      </c>
      <c r="E8" s="5" t="n">
        <v>12905</v>
      </c>
      <c r="F8" s="5" t="n">
        <v>8700</v>
      </c>
      <c r="G8" s="5" t="n">
        <v>4930</v>
      </c>
      <c r="H8" s="5" t="n">
        <v>980</v>
      </c>
      <c r="I8" s="4" t="n">
        <v>1</v>
      </c>
      <c r="J8" s="6" t="n">
        <f aca="false">SUM(B8:G8)</f>
        <v>96570</v>
      </c>
      <c r="K8" s="6" t="n">
        <f aca="false">SUM(B8:F8)</f>
        <v>91640</v>
      </c>
      <c r="L8" s="7" t="n">
        <f aca="false">J8/H8</f>
        <v>98.5408163265306</v>
      </c>
      <c r="M8" s="8" t="n">
        <f aca="false">J8/J7-1</f>
        <v>0.0199081163859112</v>
      </c>
    </row>
    <row r="9" customFormat="false" ht="15" hidden="false" customHeight="true" outlineLevel="0" collapsed="false">
      <c r="A9" s="4" t="s">
        <v>25</v>
      </c>
      <c r="B9" s="5" t="n">
        <v>33350</v>
      </c>
      <c r="C9" s="5" t="n">
        <v>20735</v>
      </c>
      <c r="D9" s="5" t="n">
        <v>17545</v>
      </c>
      <c r="E9" s="5" t="n">
        <v>13195</v>
      </c>
      <c r="F9" s="5" t="n">
        <v>8845</v>
      </c>
      <c r="G9" s="5" t="n">
        <v>2175</v>
      </c>
      <c r="H9" s="5" t="n">
        <v>1010</v>
      </c>
      <c r="I9" s="4" t="n">
        <v>1</v>
      </c>
      <c r="J9" s="6" t="n">
        <f aca="false">SUM(B9:G9)</f>
        <v>95845</v>
      </c>
      <c r="K9" s="6" t="n">
        <f aca="false">SUM(B9:F9)</f>
        <v>93670</v>
      </c>
      <c r="L9" s="7" t="n">
        <f aca="false">J9/H9</f>
        <v>94.8960396039604</v>
      </c>
      <c r="M9" s="8" t="n">
        <f aca="false">J9/J8-1</f>
        <v>-0.00750750750750751</v>
      </c>
    </row>
    <row r="10" customFormat="false" ht="15" hidden="false" customHeight="true" outlineLevel="0" collapsed="false">
      <c r="A10" s="4" t="s">
        <v>26</v>
      </c>
      <c r="B10" s="5" t="n">
        <v>34220</v>
      </c>
      <c r="C10" s="5" t="n">
        <v>21170</v>
      </c>
      <c r="D10" s="5" t="n">
        <v>17980</v>
      </c>
      <c r="E10" s="5" t="n">
        <v>13485</v>
      </c>
      <c r="F10" s="5" t="n">
        <v>8990</v>
      </c>
      <c r="G10" s="5" t="n">
        <v>1595</v>
      </c>
      <c r="H10" s="5" t="n">
        <v>1040</v>
      </c>
      <c r="I10" s="4" t="n">
        <v>1</v>
      </c>
      <c r="J10" s="6" t="n">
        <f aca="false">SUM(B10:G10)</f>
        <v>97440</v>
      </c>
      <c r="K10" s="6" t="n">
        <f aca="false">SUM(B10:F10)</f>
        <v>95845</v>
      </c>
      <c r="L10" s="7" t="n">
        <f aca="false">J10/H10</f>
        <v>93.6923076923077</v>
      </c>
      <c r="M10" s="8" t="n">
        <f aca="false">J10/J9-1</f>
        <v>0.0166414523449319</v>
      </c>
    </row>
    <row r="11" customFormat="false" ht="15" hidden="false" customHeight="true" outlineLevel="0" collapsed="false">
      <c r="A11" s="4" t="s">
        <v>27</v>
      </c>
      <c r="B11" s="5" t="n">
        <v>35090</v>
      </c>
      <c r="C11" s="5" t="n">
        <v>21605</v>
      </c>
      <c r="D11" s="5" t="n">
        <v>18270</v>
      </c>
      <c r="E11" s="5" t="n">
        <v>13775</v>
      </c>
      <c r="F11" s="5" t="n">
        <v>9135</v>
      </c>
      <c r="G11" s="5" t="n">
        <v>1160</v>
      </c>
      <c r="H11" s="5" t="n">
        <v>1070</v>
      </c>
      <c r="I11" s="4" t="n">
        <v>1</v>
      </c>
      <c r="J11" s="6" t="n">
        <f aca="false">SUM(B11:G11)</f>
        <v>99035</v>
      </c>
      <c r="K11" s="6" t="n">
        <f aca="false">SUM(B11:F11)</f>
        <v>97875</v>
      </c>
      <c r="L11" s="7" t="n">
        <f aca="false">J11/H11</f>
        <v>92.5560747663551</v>
      </c>
      <c r="M11" s="8" t="n">
        <f aca="false">J11/J10-1</f>
        <v>0.0163690476190477</v>
      </c>
    </row>
    <row r="12" customFormat="false" ht="15" hidden="false" customHeight="true" outlineLevel="0" collapsed="false">
      <c r="A12" s="4" t="s">
        <v>28</v>
      </c>
      <c r="B12" s="5" t="n">
        <v>35960</v>
      </c>
      <c r="C12" s="5" t="n">
        <v>22040</v>
      </c>
      <c r="D12" s="5" t="n">
        <v>18705</v>
      </c>
      <c r="E12" s="5" t="n">
        <v>14065</v>
      </c>
      <c r="F12" s="5" t="n">
        <v>9280</v>
      </c>
      <c r="G12" s="5" t="n">
        <v>870</v>
      </c>
      <c r="H12" s="5" t="n">
        <v>1100</v>
      </c>
      <c r="I12" s="4" t="n">
        <v>1</v>
      </c>
      <c r="J12" s="6" t="n">
        <f aca="false">SUM(B12:G12)</f>
        <v>100920</v>
      </c>
      <c r="K12" s="6" t="n">
        <f aca="false">SUM(B12:F12)</f>
        <v>100050</v>
      </c>
      <c r="L12" s="7" t="n">
        <f aca="false">J12/H12</f>
        <v>91.7454545454546</v>
      </c>
      <c r="M12" s="8" t="n">
        <f aca="false">J12/J11-1</f>
        <v>0.0190336749633968</v>
      </c>
    </row>
    <row r="13" customFormat="false" ht="15" hidden="false" customHeight="true" outlineLevel="0" collapsed="false">
      <c r="A13" s="4" t="s">
        <v>29</v>
      </c>
      <c r="B13" s="5" t="n">
        <v>36830</v>
      </c>
      <c r="C13" s="5" t="n">
        <v>22475</v>
      </c>
      <c r="D13" s="5" t="n">
        <v>18995</v>
      </c>
      <c r="E13" s="5" t="n">
        <v>14355</v>
      </c>
      <c r="F13" s="5" t="n">
        <v>9425</v>
      </c>
      <c r="G13" s="5" t="n">
        <v>725</v>
      </c>
      <c r="H13" s="5" t="n">
        <v>1140</v>
      </c>
      <c r="I13" s="4" t="n">
        <v>1</v>
      </c>
      <c r="J13" s="6" t="n">
        <f aca="false">SUM(B13:G13)</f>
        <v>102805</v>
      </c>
      <c r="K13" s="6" t="n">
        <f aca="false">SUM(B13:F13)</f>
        <v>102080</v>
      </c>
      <c r="L13" s="7" t="n">
        <f aca="false">J13/H13</f>
        <v>90.1798245614035</v>
      </c>
      <c r="M13" s="8" t="n">
        <f aca="false">J13/J12-1</f>
        <v>0.0186781609195403</v>
      </c>
    </row>
    <row r="15" customFormat="false" ht="15" hidden="false" customHeight="true" outlineLevel="0" collapsed="false">
      <c r="A15" s="2" t="s">
        <v>30</v>
      </c>
    </row>
    <row r="16" customFormat="false" ht="15" hidden="false" customHeight="true" outlineLevel="0" collapsed="false">
      <c r="A16" s="9" t="s">
        <v>31</v>
      </c>
      <c r="D16" s="10" t="n">
        <f aca="false">(M3+M6+M8+M9+M10+M11+M12+M13)/8</f>
        <v>0.0168563658610106</v>
      </c>
    </row>
    <row r="17" customFormat="false" ht="15" hidden="false" customHeight="true" outlineLevel="0" collapsed="false">
      <c r="A17" s="9" t="s">
        <v>32</v>
      </c>
      <c r="D17" s="10" t="n">
        <f aca="false">M7</f>
        <v>0.479453125</v>
      </c>
    </row>
    <row r="18" customFormat="false" ht="15" hidden="false" customHeight="true" outlineLevel="0" collapsed="false">
      <c r="A18" s="9" t="s">
        <v>33</v>
      </c>
      <c r="D18" s="11" t="n">
        <f aca="false">D17/D16</f>
        <v>28.4434455773763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8" min="2" style="1" width="17"/>
    <col collapsed="false" customWidth="true" hidden="false" outlineLevel="0" max="9" min="9" style="1" width="16"/>
  </cols>
  <sheetData>
    <row r="1" customFormat="false" ht="60" hidden="false" customHeight="true" outlineLevel="0" collapsed="false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</row>
    <row r="2" customFormat="false" ht="15" hidden="false" customHeight="true" outlineLevel="0" collapsed="false">
      <c r="A2" s="2" t="s">
        <v>6</v>
      </c>
      <c r="B2" s="12" t="n">
        <f aca="false">Traffic!B2</f>
        <v>18400</v>
      </c>
      <c r="C2" s="12" t="n">
        <f aca="false">Traffic!B6</f>
        <v>21200</v>
      </c>
      <c r="D2" s="12" t="n">
        <f aca="false">Traffic!B7</f>
        <v>31610</v>
      </c>
      <c r="E2" s="6" t="n">
        <f aca="false">(C2-B2)/4</f>
        <v>700</v>
      </c>
      <c r="F2" s="6" t="n">
        <f aca="false">C2+E2</f>
        <v>21900</v>
      </c>
      <c r="G2" s="13" t="n">
        <f aca="false">D2/F2</f>
        <v>1.44337899543379</v>
      </c>
      <c r="H2" s="13" t="n">
        <f aca="false">D2/C2</f>
        <v>1.49103773584906</v>
      </c>
    </row>
    <row r="3" customFormat="false" ht="15" hidden="false" customHeight="true" outlineLevel="0" collapsed="false">
      <c r="A3" s="2" t="s">
        <v>7</v>
      </c>
      <c r="B3" s="12" t="n">
        <f aca="false">Traffic!C2</f>
        <v>12200</v>
      </c>
      <c r="C3" s="12" t="n">
        <f aca="false">Traffic!C6</f>
        <v>13400</v>
      </c>
      <c r="D3" s="12" t="n">
        <f aca="false">Traffic!C7</f>
        <v>19865</v>
      </c>
      <c r="E3" s="6" t="n">
        <f aca="false">(C3-B3)/4</f>
        <v>300</v>
      </c>
      <c r="F3" s="6" t="n">
        <f aca="false">C3+E3</f>
        <v>13700</v>
      </c>
      <c r="G3" s="13" t="n">
        <f aca="false">D3/F3</f>
        <v>1.45</v>
      </c>
      <c r="H3" s="13" t="n">
        <f aca="false">D3/C3</f>
        <v>1.48246268656716</v>
      </c>
    </row>
    <row r="4" customFormat="false" ht="15" hidden="false" customHeight="true" outlineLevel="0" collapsed="false">
      <c r="A4" s="2" t="s">
        <v>8</v>
      </c>
      <c r="B4" s="12" t="n">
        <f aca="false">Traffic!D2</f>
        <v>9800</v>
      </c>
      <c r="C4" s="12" t="n">
        <f aca="false">Traffic!D6</f>
        <v>11400</v>
      </c>
      <c r="D4" s="12" t="n">
        <f aca="false">Traffic!D7</f>
        <v>16820</v>
      </c>
      <c r="E4" s="6" t="n">
        <f aca="false">(C4-B4)/4</f>
        <v>400</v>
      </c>
      <c r="F4" s="6" t="n">
        <f aca="false">C4+E4</f>
        <v>11800</v>
      </c>
      <c r="G4" s="13" t="n">
        <f aca="false">D4/F4</f>
        <v>1.42542372881356</v>
      </c>
      <c r="H4" s="13" t="n">
        <f aca="false">D4/C4</f>
        <v>1.47543859649123</v>
      </c>
    </row>
    <row r="5" customFormat="false" ht="15" hidden="false" customHeight="true" outlineLevel="0" collapsed="false">
      <c r="A5" s="2" t="s">
        <v>9</v>
      </c>
      <c r="B5" s="12" t="n">
        <f aca="false">Traffic!E2</f>
        <v>7600</v>
      </c>
      <c r="C5" s="12" t="n">
        <f aca="false">Traffic!E6</f>
        <v>8500</v>
      </c>
      <c r="D5" s="12" t="n">
        <f aca="false">Traffic!E7</f>
        <v>12615</v>
      </c>
      <c r="E5" s="6" t="n">
        <f aca="false">(C5-B5)/4</f>
        <v>225</v>
      </c>
      <c r="F5" s="6" t="n">
        <f aca="false">C5+E5</f>
        <v>8725</v>
      </c>
      <c r="G5" s="13" t="n">
        <f aca="false">D5/F5</f>
        <v>1.4458452722063</v>
      </c>
      <c r="H5" s="13" t="n">
        <f aca="false">D5/C5</f>
        <v>1.48411764705882</v>
      </c>
    </row>
    <row r="6" customFormat="false" ht="15" hidden="false" customHeight="true" outlineLevel="0" collapsed="false">
      <c r="A6" s="2" t="s">
        <v>10</v>
      </c>
      <c r="B6" s="12" t="n">
        <f aca="false">Traffic!F2</f>
        <v>5400</v>
      </c>
      <c r="C6" s="12" t="n">
        <f aca="false">Traffic!F6</f>
        <v>5800</v>
      </c>
      <c r="D6" s="12" t="n">
        <f aca="false">Traffic!F7</f>
        <v>8555</v>
      </c>
      <c r="E6" s="6" t="n">
        <f aca="false">(C6-B6)/4</f>
        <v>100</v>
      </c>
      <c r="F6" s="6" t="n">
        <f aca="false">C6+E6</f>
        <v>5900</v>
      </c>
      <c r="G6" s="13" t="n">
        <f aca="false">D6/F6</f>
        <v>1.45</v>
      </c>
      <c r="H6" s="13" t="n">
        <f aca="false">D6/C6</f>
        <v>1.475</v>
      </c>
    </row>
    <row r="7" customFormat="false" ht="15" hidden="false" customHeight="true" outlineLevel="0" collapsed="false">
      <c r="A7" s="2" t="s">
        <v>11</v>
      </c>
      <c r="B7" s="12" t="n">
        <f aca="false">Traffic!G2</f>
        <v>4100</v>
      </c>
      <c r="C7" s="12" t="n">
        <f aca="false">Traffic!G6</f>
        <v>3700</v>
      </c>
      <c r="D7" s="12" t="n">
        <f aca="false">Traffic!G7</f>
        <v>5220</v>
      </c>
      <c r="E7" s="6" t="n">
        <f aca="false">(C7-B7)/4</f>
        <v>-100</v>
      </c>
      <c r="F7" s="6" t="n">
        <f aca="false">C7+E7</f>
        <v>3600</v>
      </c>
      <c r="G7" s="13" t="n">
        <f aca="false">D7/F7</f>
        <v>1.45</v>
      </c>
      <c r="H7" s="13" t="n">
        <f aca="false">D7/C7</f>
        <v>1.41081081081081</v>
      </c>
    </row>
    <row r="9" customFormat="false" ht="15" hidden="false" customHeight="true" outlineLevel="0" collapsed="false">
      <c r="A9" s="9" t="s">
        <v>42</v>
      </c>
      <c r="B9" s="14" t="n">
        <f aca="false">SUM(B2:B7)</f>
        <v>57500</v>
      </c>
      <c r="C9" s="14" t="n">
        <f aca="false">SUM(C2:C7)</f>
        <v>64000</v>
      </c>
      <c r="D9" s="14" t="n">
        <f aca="false">SUM(D2:D7)</f>
        <v>94685</v>
      </c>
      <c r="E9" s="14" t="n">
        <f aca="false">SUM(E2:E7)</f>
        <v>1625</v>
      </c>
      <c r="F9" s="14" t="n">
        <f aca="false">SUM(F2:F7)</f>
        <v>65625</v>
      </c>
      <c r="G9" s="15" t="n">
        <f aca="false">D9/F9</f>
        <v>1.44281904761905</v>
      </c>
      <c r="H9" s="15" t="n">
        <f aca="false">D9/C9</f>
        <v>1.479453125</v>
      </c>
    </row>
    <row r="11" customFormat="false" ht="15" hidden="false" customHeight="true" outlineLevel="0" collapsed="false">
      <c r="A11" s="1" t="s">
        <v>43</v>
      </c>
      <c r="B11" s="15" t="n">
        <f aca="false">MIN(G2:G7)</f>
        <v>1.42542372881356</v>
      </c>
    </row>
    <row r="12" customFormat="false" ht="15" hidden="false" customHeight="true" outlineLevel="0" collapsed="false">
      <c r="A12" s="1" t="s">
        <v>44</v>
      </c>
      <c r="B12" s="15" t="n">
        <f aca="false">G9</f>
        <v>1.44281904761905</v>
      </c>
    </row>
    <row r="13" customFormat="false" ht="15" hidden="false" customHeight="true" outlineLevel="0" collapsed="false">
      <c r="A13" s="1" t="s">
        <v>45</v>
      </c>
      <c r="B13" s="15" t="n">
        <f aca="false">H9</f>
        <v>1.479453125</v>
      </c>
    </row>
    <row r="15" customFormat="false" ht="15" hidden="false" customHeight="true" outlineLevel="0" collapsed="false">
      <c r="A15" s="2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9" min="2" style="1" width="16"/>
  </cols>
  <sheetData>
    <row r="1" customFormat="false" ht="45" hidden="false" customHeight="true" outlineLevel="0" collapsed="false">
      <c r="A1" s="3" t="s">
        <v>5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</row>
    <row r="2" customFormat="false" ht="15" hidden="false" customHeight="true" outlineLevel="0" collapsed="false">
      <c r="A2" s="1" t="str">
        <f aca="false">Traffic!A2</f>
        <v>2025-09</v>
      </c>
      <c r="B2" s="14" t="n">
        <f aca="false">Traffic!J2</f>
        <v>57500</v>
      </c>
      <c r="C2" s="1" t="n">
        <f aca="false">Traffic!I2</f>
        <v>0</v>
      </c>
      <c r="D2" s="14" t="n">
        <f aca="false">B2/IF(C2=1,Step!$B$12,1)</f>
        <v>57500</v>
      </c>
      <c r="E2" s="14" t="n">
        <f aca="false">Traffic!K2/IF(C2=1,Step!$B$12,1)</f>
        <v>53400</v>
      </c>
      <c r="F2" s="14" t="n">
        <f aca="false">Traffic!H2</f>
        <v>820</v>
      </c>
      <c r="G2" s="16" t="n">
        <f aca="false">B2/$B$2*100</f>
        <v>100</v>
      </c>
      <c r="H2" s="16" t="n">
        <f aca="false">D2/$D$2*100</f>
        <v>100</v>
      </c>
      <c r="I2" s="16" t="n">
        <f aca="false">F2/$F$2*100</f>
        <v>100</v>
      </c>
    </row>
    <row r="3" customFormat="false" ht="15" hidden="false" customHeight="true" outlineLevel="0" collapsed="false">
      <c r="A3" s="1" t="str">
        <f aca="false">Traffic!A3</f>
        <v>2025-10</v>
      </c>
      <c r="B3" s="14" t="n">
        <f aca="false">Traffic!J3</f>
        <v>59000</v>
      </c>
      <c r="C3" s="1" t="n">
        <f aca="false">Traffic!I3</f>
        <v>0</v>
      </c>
      <c r="D3" s="14" t="n">
        <f aca="false">B3/IF(C3=1,Step!$B$12,1)</f>
        <v>59000</v>
      </c>
      <c r="E3" s="14" t="n">
        <f aca="false">Traffic!K3/IF(C3=1,Step!$B$12,1)</f>
        <v>55000</v>
      </c>
      <c r="F3" s="14" t="n">
        <f aca="false">Traffic!H3</f>
        <v>840</v>
      </c>
      <c r="G3" s="16" t="n">
        <f aca="false">B3/$B$2*100</f>
        <v>102.608695652174</v>
      </c>
      <c r="H3" s="16" t="n">
        <f aca="false">D3/$D$2*100</f>
        <v>102.608695652174</v>
      </c>
      <c r="I3" s="16" t="n">
        <f aca="false">F3/$F$2*100</f>
        <v>102.439024390244</v>
      </c>
    </row>
    <row r="4" customFormat="false" ht="15" hidden="false" customHeight="true" outlineLevel="0" collapsed="false">
      <c r="A4" s="1" t="str">
        <f aca="false">Traffic!A4</f>
        <v>2025-11</v>
      </c>
      <c r="B4" s="14" t="n">
        <f aca="false">Traffic!J4</f>
        <v>75000</v>
      </c>
      <c r="C4" s="1" t="n">
        <f aca="false">Traffic!I4</f>
        <v>0</v>
      </c>
      <c r="D4" s="14" t="n">
        <f aca="false">B4/IF(C4=1,Step!$B$12,1)</f>
        <v>75000</v>
      </c>
      <c r="E4" s="14" t="n">
        <f aca="false">Traffic!K4/IF(C4=1,Step!$B$12,1)</f>
        <v>71100</v>
      </c>
      <c r="F4" s="14" t="n">
        <f aca="false">Traffic!H4</f>
        <v>860</v>
      </c>
      <c r="G4" s="16" t="n">
        <f aca="false">B4/$B$2*100</f>
        <v>130.434782608696</v>
      </c>
      <c r="H4" s="16" t="n">
        <f aca="false">D4/$D$2*100</f>
        <v>130.434782608696</v>
      </c>
      <c r="I4" s="16" t="n">
        <f aca="false">F4/$F$2*100</f>
        <v>104.878048780488</v>
      </c>
    </row>
    <row r="5" customFormat="false" ht="15" hidden="false" customHeight="true" outlineLevel="0" collapsed="false">
      <c r="A5" s="1" t="str">
        <f aca="false">Traffic!A5</f>
        <v>2025-12</v>
      </c>
      <c r="B5" s="14" t="n">
        <f aca="false">Traffic!J5</f>
        <v>62400</v>
      </c>
      <c r="C5" s="1" t="n">
        <f aca="false">Traffic!I5</f>
        <v>0</v>
      </c>
      <c r="D5" s="14" t="n">
        <f aca="false">B5/IF(C5=1,Step!$B$12,1)</f>
        <v>62400</v>
      </c>
      <c r="E5" s="14" t="n">
        <f aca="false">Traffic!K5/IF(C5=1,Step!$B$12,1)</f>
        <v>58600</v>
      </c>
      <c r="F5" s="14" t="n">
        <f aca="false">Traffic!H5</f>
        <v>890</v>
      </c>
      <c r="G5" s="16" t="n">
        <f aca="false">B5/$B$2*100</f>
        <v>108.521739130435</v>
      </c>
      <c r="H5" s="16" t="n">
        <f aca="false">D5/$D$2*100</f>
        <v>108.521739130435</v>
      </c>
      <c r="I5" s="16" t="n">
        <f aca="false">F5/$F$2*100</f>
        <v>108.536585365854</v>
      </c>
    </row>
    <row r="6" customFormat="false" ht="15" hidden="false" customHeight="true" outlineLevel="0" collapsed="false">
      <c r="A6" s="1" t="str">
        <f aca="false">Traffic!A6</f>
        <v>2026-01</v>
      </c>
      <c r="B6" s="14" t="n">
        <f aca="false">Traffic!J6</f>
        <v>64000</v>
      </c>
      <c r="C6" s="1" t="n">
        <f aca="false">Traffic!I6</f>
        <v>0</v>
      </c>
      <c r="D6" s="14" t="n">
        <f aca="false">B6/IF(C6=1,Step!$B$12,1)</f>
        <v>64000</v>
      </c>
      <c r="E6" s="14" t="n">
        <f aca="false">Traffic!K6/IF(C6=1,Step!$B$12,1)</f>
        <v>60300</v>
      </c>
      <c r="F6" s="14" t="n">
        <f aca="false">Traffic!H6</f>
        <v>920</v>
      </c>
      <c r="G6" s="16" t="n">
        <f aca="false">B6/$B$2*100</f>
        <v>111.304347826087</v>
      </c>
      <c r="H6" s="16" t="n">
        <f aca="false">D6/$D$2*100</f>
        <v>111.304347826087</v>
      </c>
      <c r="I6" s="16" t="n">
        <f aca="false">F6/$F$2*100</f>
        <v>112.19512195122</v>
      </c>
    </row>
    <row r="7" customFormat="false" ht="15" hidden="false" customHeight="true" outlineLevel="0" collapsed="false">
      <c r="A7" s="1" t="str">
        <f aca="false">Traffic!A7</f>
        <v>2026-02</v>
      </c>
      <c r="B7" s="14" t="n">
        <f aca="false">Traffic!J7</f>
        <v>94685</v>
      </c>
      <c r="C7" s="1" t="n">
        <f aca="false">Traffic!I7</f>
        <v>1</v>
      </c>
      <c r="D7" s="14" t="n">
        <f aca="false">B7/IF(C7=1,Step!$B$12,1)</f>
        <v>65625</v>
      </c>
      <c r="E7" s="14" t="n">
        <f aca="false">Traffic!K7/IF(C7=1,Step!$B$12,1)</f>
        <v>62007.0826952527</v>
      </c>
      <c r="F7" s="14" t="n">
        <f aca="false">Traffic!H7</f>
        <v>950</v>
      </c>
      <c r="G7" s="16" t="n">
        <f aca="false">B7/$B$2*100</f>
        <v>164.669565217391</v>
      </c>
      <c r="H7" s="16" t="n">
        <f aca="false">D7/$D$2*100</f>
        <v>114.130434782609</v>
      </c>
      <c r="I7" s="16" t="n">
        <f aca="false">F7/$F$2*100</f>
        <v>115.853658536585</v>
      </c>
    </row>
    <row r="8" customFormat="false" ht="15" hidden="false" customHeight="true" outlineLevel="0" collapsed="false">
      <c r="A8" s="1" t="str">
        <f aca="false">Traffic!A8</f>
        <v>2026-03</v>
      </c>
      <c r="B8" s="14" t="n">
        <f aca="false">Traffic!J8</f>
        <v>96570</v>
      </c>
      <c r="C8" s="1" t="n">
        <f aca="false">Traffic!I8</f>
        <v>1</v>
      </c>
      <c r="D8" s="14" t="n">
        <f aca="false">B8/IF(C8=1,Step!$B$12,1)</f>
        <v>66931.4701378254</v>
      </c>
      <c r="E8" s="14" t="n">
        <f aca="false">Traffic!K8/IF(C8=1,Step!$B$12,1)</f>
        <v>63514.5482388974</v>
      </c>
      <c r="F8" s="14" t="n">
        <f aca="false">Traffic!H8</f>
        <v>980</v>
      </c>
      <c r="G8" s="16" t="n">
        <f aca="false">B8/$B$2*100</f>
        <v>167.947826086957</v>
      </c>
      <c r="H8" s="16" t="n">
        <f aca="false">D8/$D$2*100</f>
        <v>116.402556761436</v>
      </c>
      <c r="I8" s="16" t="n">
        <f aca="false">F8/$F$2*100</f>
        <v>119.512195121951</v>
      </c>
    </row>
    <row r="9" customFormat="false" ht="15" hidden="false" customHeight="true" outlineLevel="0" collapsed="false">
      <c r="A9" s="1" t="str">
        <f aca="false">Traffic!A9</f>
        <v>2026-04</v>
      </c>
      <c r="B9" s="14" t="n">
        <f aca="false">Traffic!J9</f>
        <v>95845</v>
      </c>
      <c r="C9" s="1" t="n">
        <f aca="false">Traffic!I9</f>
        <v>1</v>
      </c>
      <c r="D9" s="14" t="n">
        <f aca="false">B9/IF(C9=1,Step!$B$12,1)</f>
        <v>66428.9816232772</v>
      </c>
      <c r="E9" s="14" t="n">
        <f aca="false">Traffic!K9/IF(C9=1,Step!$B$12,1)</f>
        <v>64921.5160796325</v>
      </c>
      <c r="F9" s="14" t="n">
        <f aca="false">Traffic!H9</f>
        <v>1010</v>
      </c>
      <c r="G9" s="16" t="n">
        <f aca="false">B9/$B$2*100</f>
        <v>166.686956521739</v>
      </c>
      <c r="H9" s="16" t="n">
        <f aca="false">D9/$D$2*100</f>
        <v>115.528663692656</v>
      </c>
      <c r="I9" s="16" t="n">
        <f aca="false">F9/$F$2*100</f>
        <v>123.170731707317</v>
      </c>
    </row>
    <row r="10" customFormat="false" ht="15" hidden="false" customHeight="true" outlineLevel="0" collapsed="false">
      <c r="A10" s="1" t="str">
        <f aca="false">Traffic!A10</f>
        <v>2026-05</v>
      </c>
      <c r="B10" s="14" t="n">
        <f aca="false">Traffic!J10</f>
        <v>97440</v>
      </c>
      <c r="C10" s="1" t="n">
        <f aca="false">Traffic!I10</f>
        <v>1</v>
      </c>
      <c r="D10" s="14" t="n">
        <f aca="false">B10/IF(C10=1,Step!$B$12,1)</f>
        <v>67534.4563552833</v>
      </c>
      <c r="E10" s="14" t="n">
        <f aca="false">Traffic!K10/IF(C10=1,Step!$B$12,1)</f>
        <v>66428.9816232772</v>
      </c>
      <c r="F10" s="14" t="n">
        <f aca="false">Traffic!H10</f>
        <v>1040</v>
      </c>
      <c r="G10" s="16" t="n">
        <f aca="false">B10/$B$2*100</f>
        <v>169.460869565217</v>
      </c>
      <c r="H10" s="16" t="n">
        <f aca="false">D10/$D$2*100</f>
        <v>117.451228443971</v>
      </c>
      <c r="I10" s="16" t="n">
        <f aca="false">F10/$F$2*100</f>
        <v>126.829268292683</v>
      </c>
    </row>
    <row r="11" customFormat="false" ht="15" hidden="false" customHeight="true" outlineLevel="0" collapsed="false">
      <c r="A11" s="1" t="str">
        <f aca="false">Traffic!A11</f>
        <v>2026-06</v>
      </c>
      <c r="B11" s="14" t="n">
        <f aca="false">Traffic!J11</f>
        <v>99035</v>
      </c>
      <c r="C11" s="1" t="n">
        <f aca="false">Traffic!I11</f>
        <v>1</v>
      </c>
      <c r="D11" s="14" t="n">
        <f aca="false">B11/IF(C11=1,Step!$B$12,1)</f>
        <v>68639.9310872894</v>
      </c>
      <c r="E11" s="14" t="n">
        <f aca="false">Traffic!K11/IF(C11=1,Step!$B$12,1)</f>
        <v>67835.9494640122</v>
      </c>
      <c r="F11" s="14" t="n">
        <f aca="false">Traffic!H11</f>
        <v>1070</v>
      </c>
      <c r="G11" s="16" t="n">
        <f aca="false">B11/$B$2*100</f>
        <v>172.234782608696</v>
      </c>
      <c r="H11" s="16" t="n">
        <f aca="false">D11/$D$2*100</f>
        <v>119.373793195286</v>
      </c>
      <c r="I11" s="16" t="n">
        <f aca="false">F11/$F$2*100</f>
        <v>130.487804878049</v>
      </c>
    </row>
    <row r="12" customFormat="false" ht="15" hidden="false" customHeight="true" outlineLevel="0" collapsed="false">
      <c r="A12" s="1" t="str">
        <f aca="false">Traffic!A12</f>
        <v>2026-07</v>
      </c>
      <c r="B12" s="14" t="n">
        <f aca="false">Traffic!J12</f>
        <v>100920</v>
      </c>
      <c r="C12" s="1" t="n">
        <f aca="false">Traffic!I12</f>
        <v>1</v>
      </c>
      <c r="D12" s="14" t="n">
        <f aca="false">B12/IF(C12=1,Step!$B$12,1)</f>
        <v>69946.4012251149</v>
      </c>
      <c r="E12" s="14" t="n">
        <f aca="false">Traffic!K12/IF(C12=1,Step!$B$12,1)</f>
        <v>69343.415007657</v>
      </c>
      <c r="F12" s="14" t="n">
        <f aca="false">Traffic!H12</f>
        <v>1100</v>
      </c>
      <c r="G12" s="16" t="n">
        <f aca="false">B12/$B$2*100</f>
        <v>175.513043478261</v>
      </c>
      <c r="H12" s="16" t="n">
        <f aca="false">D12/$D$2*100</f>
        <v>121.645915174113</v>
      </c>
      <c r="I12" s="16" t="n">
        <f aca="false">F12/$F$2*100</f>
        <v>134.146341463415</v>
      </c>
    </row>
    <row r="13" customFormat="false" ht="15" hidden="false" customHeight="true" outlineLevel="0" collapsed="false">
      <c r="A13" s="1" t="str">
        <f aca="false">Traffic!A13</f>
        <v>2026-08</v>
      </c>
      <c r="B13" s="14" t="n">
        <f aca="false">Traffic!J13</f>
        <v>102805</v>
      </c>
      <c r="C13" s="1" t="n">
        <f aca="false">Traffic!I13</f>
        <v>1</v>
      </c>
      <c r="D13" s="14" t="n">
        <f aca="false">B13/IF(C13=1,Step!$B$12,1)</f>
        <v>71252.8713629403</v>
      </c>
      <c r="E13" s="14" t="n">
        <f aca="false">Traffic!K13/IF(C13=1,Step!$B$12,1)</f>
        <v>70750.382848392</v>
      </c>
      <c r="F13" s="14" t="n">
        <f aca="false">Traffic!H13</f>
        <v>1140</v>
      </c>
      <c r="G13" s="16" t="n">
        <f aca="false">B13/$B$2*100</f>
        <v>178.791304347826</v>
      </c>
      <c r="H13" s="16" t="n">
        <f aca="false">D13/$D$2*100</f>
        <v>123.91803715294</v>
      </c>
      <c r="I13" s="16" t="n">
        <f aca="false">F13/$F$2*100</f>
        <v>139.024390243902</v>
      </c>
    </row>
    <row r="15" customFormat="false" ht="15" hidden="false" customHeight="true" outlineLevel="0" collapsed="false">
      <c r="A15" s="9" t="s">
        <v>55</v>
      </c>
      <c r="B15" s="10" t="n">
        <f aca="false">B13/B2-1</f>
        <v>0.787913043478261</v>
      </c>
    </row>
    <row r="16" customFormat="false" ht="15" hidden="false" customHeight="true" outlineLevel="0" collapsed="false">
      <c r="A16" s="9" t="s">
        <v>56</v>
      </c>
      <c r="B16" s="10" t="n">
        <f aca="false">D13/D2-1</f>
        <v>0.239180371529396</v>
      </c>
    </row>
    <row r="17" customFormat="false" ht="15" hidden="false" customHeight="true" outlineLevel="0" collapsed="false">
      <c r="A17" s="9" t="s">
        <v>57</v>
      </c>
      <c r="B17" s="10" t="n">
        <f aca="false">(B13/Step!B13)/D2-1</f>
        <v>0.208495905186763</v>
      </c>
    </row>
    <row r="18" customFormat="false" ht="15" hidden="false" customHeight="true" outlineLevel="0" collapsed="false">
      <c r="A18" s="9" t="s">
        <v>58</v>
      </c>
      <c r="B18" s="10" t="n">
        <f aca="false">(B13/Step!B11)/D2-1</f>
        <v>0.254302848575712</v>
      </c>
    </row>
    <row r="19" customFormat="false" ht="15" hidden="false" customHeight="true" outlineLevel="0" collapsed="false">
      <c r="A19" s="9" t="s">
        <v>59</v>
      </c>
      <c r="B19" s="10" t="n">
        <f aca="false">(1+B16)^(12/11)-1</f>
        <v>0.26357580286219</v>
      </c>
    </row>
    <row r="20" customFormat="false" ht="15" hidden="false" customHeight="true" outlineLevel="0" collapsed="false">
      <c r="A20" s="9" t="s">
        <v>60</v>
      </c>
      <c r="B20" s="10" t="n">
        <f aca="false">E13/E2-1</f>
        <v>0.324913536486742</v>
      </c>
    </row>
    <row r="21" customFormat="false" ht="15" hidden="false" customHeight="true" outlineLevel="0" collapsed="false">
      <c r="A21" s="9" t="s">
        <v>61</v>
      </c>
      <c r="B21" s="10" t="n">
        <f aca="false">F13/F2-1</f>
        <v>0.390243902439024</v>
      </c>
    </row>
    <row r="22" customFormat="false" ht="15" hidden="false" customHeight="true" outlineLevel="0" collapsed="false">
      <c r="A22" s="9" t="s">
        <v>62</v>
      </c>
      <c r="B22" s="10" t="n">
        <f aca="false">(1+B21)^(12/11)-1</f>
        <v>0.432515308022736</v>
      </c>
    </row>
    <row r="23" customFormat="false" ht="15" hidden="false" customHeight="true" outlineLevel="0" collapsed="false">
      <c r="A23" s="9" t="s">
        <v>63</v>
      </c>
      <c r="B23" s="10" t="n">
        <f aca="false">1-B16/B15</f>
        <v>0.696438111401826</v>
      </c>
    </row>
    <row r="25" customFormat="false" ht="15" hidden="false" customHeight="true" outlineLevel="0" collapsed="false">
      <c r="A25" s="1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4"/>
  </cols>
  <sheetData>
    <row r="1" customFormat="false" ht="15" hidden="false" customHeight="true" outlineLevel="0" collapsed="false">
      <c r="A1" s="9" t="s">
        <v>65</v>
      </c>
      <c r="B1" s="14" t="n">
        <f aca="false">Traffic!D3</f>
        <v>10100</v>
      </c>
    </row>
    <row r="2" customFormat="false" ht="15" hidden="false" customHeight="true" outlineLevel="0" collapsed="false">
      <c r="A2" s="9" t="s">
        <v>66</v>
      </c>
      <c r="B2" s="14" t="n">
        <f aca="false">Traffic!D4</f>
        <v>24800</v>
      </c>
    </row>
    <row r="3" customFormat="false" ht="15" hidden="false" customHeight="true" outlineLevel="0" collapsed="false">
      <c r="A3" s="9" t="s">
        <v>67</v>
      </c>
      <c r="B3" s="14" t="n">
        <f aca="false">Traffic!D5</f>
        <v>11000</v>
      </c>
    </row>
    <row r="4" customFormat="false" ht="15" hidden="false" customHeight="true" outlineLevel="0" collapsed="false">
      <c r="A4" s="9" t="s">
        <v>68</v>
      </c>
      <c r="B4" s="14" t="n">
        <f aca="false">(B1+B3)/2</f>
        <v>10550</v>
      </c>
    </row>
    <row r="5" customFormat="false" ht="15" hidden="false" customHeight="true" outlineLevel="0" collapsed="false">
      <c r="A5" s="9" t="s">
        <v>69</v>
      </c>
      <c r="B5" s="14" t="n">
        <f aca="false">B2-B4</f>
        <v>14250</v>
      </c>
    </row>
    <row r="6" customFormat="false" ht="15" hidden="false" customHeight="true" outlineLevel="0" collapsed="false">
      <c r="A6" s="9" t="s">
        <v>70</v>
      </c>
      <c r="B6" s="10" t="n">
        <f aca="false">B5/B2</f>
        <v>0.574596774193548</v>
      </c>
    </row>
    <row r="7" customFormat="false" ht="15" hidden="false" customHeight="true" outlineLevel="0" collapsed="false">
      <c r="A7" s="9" t="s">
        <v>71</v>
      </c>
      <c r="B7" s="14" t="n">
        <f aca="false">Traffic!J4</f>
        <v>75000</v>
      </c>
    </row>
    <row r="8" customFormat="false" ht="15" hidden="false" customHeight="true" outlineLevel="0" collapsed="false">
      <c r="A8" s="9" t="s">
        <v>72</v>
      </c>
      <c r="B8" s="10" t="n">
        <f aca="false">B5/B7</f>
        <v>0.19</v>
      </c>
    </row>
    <row r="9" customFormat="false" ht="15" hidden="false" customHeight="true" outlineLevel="0" collapsed="false">
      <c r="A9" s="9" t="s">
        <v>73</v>
      </c>
      <c r="B9" s="14" t="n">
        <f aca="false">B3-B1</f>
        <v>900</v>
      </c>
    </row>
    <row r="10" customFormat="false" ht="15" hidden="false" customHeight="true" outlineLevel="0" collapsed="false">
      <c r="A10" s="9" t="s">
        <v>74</v>
      </c>
      <c r="B10" s="14" t="n">
        <f aca="false">Traffic!H4</f>
        <v>860</v>
      </c>
    </row>
    <row r="11" customFormat="false" ht="15" hidden="false" customHeight="true" outlineLevel="0" collapsed="false">
      <c r="A11" s="9" t="s">
        <v>75</v>
      </c>
      <c r="B11" s="14" t="n">
        <f aca="false">(Traffic!H3+Traffic!H5)/2</f>
        <v>865</v>
      </c>
    </row>
    <row r="12" customFormat="false" ht="15" hidden="false" customHeight="true" outlineLevel="0" collapsed="false">
      <c r="A12" s="9" t="s">
        <v>76</v>
      </c>
      <c r="B12" s="14" t="n">
        <f aca="false">B10-B11</f>
        <v>-5</v>
      </c>
    </row>
    <row r="13" customFormat="false" ht="15" hidden="false" customHeight="true" outlineLevel="0" collapsed="false">
      <c r="A13" s="9" t="s">
        <v>77</v>
      </c>
      <c r="B13" s="14" t="str">
        <f aca="false">IF(B12&lt;=0,"none: signups did not rise",B5/B12)</f>
        <v>none: signups did not rise</v>
      </c>
    </row>
    <row r="15" customFormat="false" ht="15" hidden="false" customHeight="true" outlineLevel="0" collapsed="false">
      <c r="A15" s="1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0"/>
    <col collapsed="false" customWidth="true" hidden="false" outlineLevel="0" max="3" min="3" style="1" width="62"/>
    <col collapsed="false" customWidth="true" hidden="false" outlineLevel="0" max="5" min="4" style="1" width="24"/>
    <col collapsed="false" customWidth="true" hidden="false" outlineLevel="0" max="6" min="6" style="1" width="12"/>
    <col collapsed="false" customWidth="true" hidden="false" outlineLevel="0" max="7" min="7" style="1" width="11"/>
    <col collapsed="false" customWidth="true" hidden="false" outlineLevel="0" max="9" min="8" style="1" width="12"/>
    <col collapsed="false" customWidth="true" hidden="false" outlineLevel="0" max="10" min="10" style="1" width="13"/>
    <col collapsed="false" customWidth="true" hidden="false" outlineLevel="0" max="11" min="11" style="1" width="11"/>
    <col collapsed="false" customWidth="true" hidden="false" outlineLevel="0" max="12" min="12" style="1" width="16"/>
  </cols>
  <sheetData>
    <row r="1" customFormat="false" ht="15" hidden="false" customHeight="true" outlineLevel="0" collapsed="false">
      <c r="A1" s="17" t="s">
        <v>79</v>
      </c>
      <c r="I1" s="18" t="s">
        <v>80</v>
      </c>
      <c r="J1" s="19" t="n">
        <v>46298</v>
      </c>
      <c r="K1" s="20"/>
    </row>
    <row r="3" customFormat="false" ht="51.75" hidden="false" customHeight="true" outlineLevel="0" collapsed="false">
      <c r="A3" s="21" t="s">
        <v>81</v>
      </c>
      <c r="B3" s="21" t="s">
        <v>82</v>
      </c>
      <c r="C3" s="21" t="s">
        <v>83</v>
      </c>
      <c r="D3" s="21" t="s">
        <v>84</v>
      </c>
      <c r="E3" s="21" t="s">
        <v>85</v>
      </c>
      <c r="F3" s="21" t="s">
        <v>86</v>
      </c>
      <c r="G3" s="21" t="s">
        <v>87</v>
      </c>
      <c r="H3" s="21" t="s">
        <v>88</v>
      </c>
      <c r="I3" s="21" t="s">
        <v>89</v>
      </c>
      <c r="J3" s="21" t="s">
        <v>90</v>
      </c>
      <c r="K3" s="21" t="s">
        <v>91</v>
      </c>
      <c r="L3" s="21" t="s">
        <v>92</v>
      </c>
      <c r="M3" s="3"/>
    </row>
    <row r="4" customFormat="false" ht="15" hidden="false" customHeight="true" outlineLevel="0" collapsed="false">
      <c r="A4" s="4" t="s">
        <v>93</v>
      </c>
      <c r="B4" s="4" t="s">
        <v>6</v>
      </c>
      <c r="C4" s="4" t="s">
        <v>94</v>
      </c>
      <c r="D4" s="4" t="s">
        <v>95</v>
      </c>
      <c r="E4" s="4" t="s">
        <v>96</v>
      </c>
      <c r="F4" s="4" t="n">
        <v>7</v>
      </c>
      <c r="G4" s="4" t="s">
        <v>97</v>
      </c>
      <c r="H4" s="4" t="n">
        <v>1</v>
      </c>
      <c r="I4" s="4" t="n">
        <v>0</v>
      </c>
      <c r="J4" s="22" t="n">
        <f aca="false">IF(ISNUMBER(SEARCH("hour",E4)),INT($J$1-VALUE(LEFT(E4,FIND(" ",E4)-1))/24),IF(ISNUMBER(SEARCH("day",E4)),$J$1-VALUE(LEFT(E4,FIND(" ",E4)-1)),DATE(2000+VALUE(RIGHT(E4,2)),MATCH(MID(E4,FIND("-",E4)+1,3),{"Jan","Feb","Mar","Apr","May","Jun","Jul","Aug","Sep","Oct","Nov","Dec"},0),VALUE(LEFT(E4,FIND("-",E4)-1)))))</f>
        <v>46297</v>
      </c>
      <c r="K4" s="1" t="n">
        <f aca="false">YEAR(J4)*100+MONTH(J4)</f>
        <v>202610</v>
      </c>
      <c r="L4" s="1" t="n">
        <f aca="false">IF(OR(ISNUMBER(SEARCH("stock",C4)),ISNUMBER(SEARCH("forecast",C4)),ISNUMBER(SEARCH("earnings",C4)),ISNUMBER(SEARCH("ipo ",C4&amp;" ")),ISNUMBER(SEARCH("ipo,",C4)),ISNUMBER(SEARCH("lockup",C4)),ISNUMBER(SEARCH("price",C4)),ISNUMBER(SEARCH("mstr",C4)),ISNUMBER(SEARCH("tsm",C4)),ISNUMBER(SEARCH("nvda",C4)),ISNUMBER(SEARCH(" vs ",C4))),1,0)</f>
        <v>0</v>
      </c>
    </row>
    <row r="5" customFormat="false" ht="15" hidden="false" customHeight="true" outlineLevel="0" collapsed="false">
      <c r="A5" s="4" t="s">
        <v>98</v>
      </c>
      <c r="B5" s="4" t="s">
        <v>6</v>
      </c>
      <c r="C5" s="4" t="s">
        <v>99</v>
      </c>
      <c r="D5" s="4" t="s">
        <v>100</v>
      </c>
      <c r="E5" s="4" t="s">
        <v>101</v>
      </c>
      <c r="F5" s="4" t="n">
        <v>9</v>
      </c>
      <c r="G5" s="4" t="s">
        <v>102</v>
      </c>
      <c r="H5" s="4" t="n">
        <v>1</v>
      </c>
      <c r="I5" s="4" t="n">
        <v>1</v>
      </c>
      <c r="J5" s="22" t="n">
        <f aca="false">IF(ISNUMBER(SEARCH("hour",E5)),INT($J$1-VALUE(LEFT(E5,FIND(" ",E5)-1))/24),IF(ISNUMBER(SEARCH("day",E5)),$J$1-VALUE(LEFT(E5,FIND(" ",E5)-1)),DATE(2000+VALUE(RIGHT(E5,2)),MATCH(MID(E5,FIND("-",E5)+1,3),{"Jan","Feb","Mar","Apr","May","Jun","Jul","Aug","Sep","Oct","Nov","Dec"},0),VALUE(LEFT(E5,FIND("-",E5)-1)))))</f>
        <v>46296</v>
      </c>
      <c r="K5" s="1" t="n">
        <f aca="false">YEAR(J5)*100+MONTH(J5)</f>
        <v>202610</v>
      </c>
      <c r="L5" s="1" t="n">
        <f aca="false">IF(OR(ISNUMBER(SEARCH("stock",C5)),ISNUMBER(SEARCH("forecast",C5)),ISNUMBER(SEARCH("earnings",C5)),ISNUMBER(SEARCH("ipo ",C5&amp;" ")),ISNUMBER(SEARCH("ipo,",C5)),ISNUMBER(SEARCH("lockup",C5)),ISNUMBER(SEARCH("price",C5)),ISNUMBER(SEARCH("mstr",C5)),ISNUMBER(SEARCH("tsm",C5)),ISNUMBER(SEARCH("nvda",C5)),ISNUMBER(SEARCH(" vs ",C5))),1,0)</f>
        <v>1</v>
      </c>
    </row>
    <row r="6" customFormat="false" ht="15" hidden="false" customHeight="true" outlineLevel="0" collapsed="false">
      <c r="A6" s="4" t="s">
        <v>103</v>
      </c>
      <c r="B6" s="4" t="s">
        <v>6</v>
      </c>
      <c r="C6" s="4" t="s">
        <v>104</v>
      </c>
      <c r="D6" s="4" t="s">
        <v>100</v>
      </c>
      <c r="E6" s="4" t="s">
        <v>105</v>
      </c>
      <c r="F6" s="4" t="n">
        <v>11</v>
      </c>
      <c r="G6" s="4" t="s">
        <v>102</v>
      </c>
      <c r="H6" s="4" t="n">
        <v>1</v>
      </c>
      <c r="I6" s="4" t="n">
        <v>0</v>
      </c>
      <c r="J6" s="22" t="n">
        <f aca="false">IF(ISNUMBER(SEARCH("hour",E6)),INT($J$1-VALUE(LEFT(E6,FIND(" ",E6)-1))/24),IF(ISNUMBER(SEARCH("day",E6)),$J$1-VALUE(LEFT(E6,FIND(" ",E6)-1)),DATE(2000+VALUE(RIGHT(E6,2)),MATCH(MID(E6,FIND("-",E6)+1,3),{"Jan","Feb","Mar","Apr","May","Jun","Jul","Aug","Sep","Oct","Nov","Dec"},0),VALUE(LEFT(E6,FIND("-",E6)-1)))))</f>
        <v>46295</v>
      </c>
      <c r="K6" s="1" t="n">
        <f aca="false">YEAR(J6)*100+MONTH(J6)</f>
        <v>202609</v>
      </c>
      <c r="L6" s="1" t="n">
        <f aca="false">IF(OR(ISNUMBER(SEARCH("stock",C6)),ISNUMBER(SEARCH("forecast",C6)),ISNUMBER(SEARCH("earnings",C6)),ISNUMBER(SEARCH("ipo ",C6&amp;" ")),ISNUMBER(SEARCH("ipo,",C6)),ISNUMBER(SEARCH("lockup",C6)),ISNUMBER(SEARCH("price",C6)),ISNUMBER(SEARCH("mstr",C6)),ISNUMBER(SEARCH("tsm",C6)),ISNUMBER(SEARCH("nvda",C6)),ISNUMBER(SEARCH(" vs ",C6))),1,0)</f>
        <v>1</v>
      </c>
    </row>
    <row r="7" customFormat="false" ht="15" hidden="false" customHeight="true" outlineLevel="0" collapsed="false">
      <c r="A7" s="4" t="s">
        <v>106</v>
      </c>
      <c r="B7" s="4" t="s">
        <v>6</v>
      </c>
      <c r="C7" s="4" t="s">
        <v>107</v>
      </c>
      <c r="D7" s="4" t="s">
        <v>108</v>
      </c>
      <c r="E7" s="4" t="s">
        <v>105</v>
      </c>
      <c r="F7" s="4" t="n">
        <v>9</v>
      </c>
      <c r="G7" s="4" t="s">
        <v>109</v>
      </c>
      <c r="H7" s="4" t="n">
        <v>1</v>
      </c>
      <c r="I7" s="4" t="n">
        <v>1</v>
      </c>
      <c r="J7" s="22" t="n">
        <f aca="false">IF(ISNUMBER(SEARCH("hour",E7)),INT($J$1-VALUE(LEFT(E7,FIND(" ",E7)-1))/24),IF(ISNUMBER(SEARCH("day",E7)),$J$1-VALUE(LEFT(E7,FIND(" ",E7)-1)),DATE(2000+VALUE(RIGHT(E7,2)),MATCH(MID(E7,FIND("-",E7)+1,3),{"Jan","Feb","Mar","Apr","May","Jun","Jul","Aug","Sep","Oct","Nov","Dec"},0),VALUE(LEFT(E7,FIND("-",E7)-1)))))</f>
        <v>46295</v>
      </c>
      <c r="K7" s="1" t="n">
        <f aca="false">YEAR(J7)*100+MONTH(J7)</f>
        <v>202609</v>
      </c>
      <c r="L7" s="1" t="n">
        <f aca="false">IF(OR(ISNUMBER(SEARCH("stock",C7)),ISNUMBER(SEARCH("forecast",C7)),ISNUMBER(SEARCH("earnings",C7)),ISNUMBER(SEARCH("ipo ",C7&amp;" ")),ISNUMBER(SEARCH("ipo,",C7)),ISNUMBER(SEARCH("lockup",C7)),ISNUMBER(SEARCH("price",C7)),ISNUMBER(SEARCH("mstr",C7)),ISNUMBER(SEARCH("tsm",C7)),ISNUMBER(SEARCH("nvda",C7)),ISNUMBER(SEARCH(" vs ",C7))),1,0)</f>
        <v>0</v>
      </c>
    </row>
    <row r="8" customFormat="false" ht="15" hidden="false" customHeight="true" outlineLevel="0" collapsed="false">
      <c r="A8" s="4" t="s">
        <v>110</v>
      </c>
      <c r="B8" s="4" t="s">
        <v>6</v>
      </c>
      <c r="C8" s="4" t="s">
        <v>111</v>
      </c>
      <c r="D8" s="4" t="s">
        <v>112</v>
      </c>
      <c r="E8" s="4" t="s">
        <v>113</v>
      </c>
      <c r="F8" s="4" t="n">
        <v>7</v>
      </c>
      <c r="G8" s="4" t="s">
        <v>109</v>
      </c>
      <c r="H8" s="4" t="n">
        <v>1</v>
      </c>
      <c r="I8" s="4" t="n">
        <v>0</v>
      </c>
      <c r="J8" s="22" t="n">
        <f aca="false">IF(ISNUMBER(SEARCH("hour",E8)),INT($J$1-VALUE(LEFT(E8,FIND(" ",E8)-1))/24),IF(ISNUMBER(SEARCH("day",E8)),$J$1-VALUE(LEFT(E8,FIND(" ",E8)-1)),DATE(2000+VALUE(RIGHT(E8,2)),MATCH(MID(E8,FIND("-",E8)+1,3),{"Jan","Feb","Mar","Apr","May","Jun","Jul","Aug","Sep","Oct","Nov","Dec"},0),VALUE(LEFT(E8,FIND("-",E8)-1)))))</f>
        <v>46294</v>
      </c>
      <c r="K8" s="1" t="n">
        <f aca="false">YEAR(J8)*100+MONTH(J8)</f>
        <v>202609</v>
      </c>
      <c r="L8" s="1" t="n">
        <f aca="false">IF(OR(ISNUMBER(SEARCH("stock",C8)),ISNUMBER(SEARCH("forecast",C8)),ISNUMBER(SEARCH("earnings",C8)),ISNUMBER(SEARCH("ipo ",C8&amp;" ")),ISNUMBER(SEARCH("ipo,",C8)),ISNUMBER(SEARCH("lockup",C8)),ISNUMBER(SEARCH("price",C8)),ISNUMBER(SEARCH("mstr",C8)),ISNUMBER(SEARCH("tsm",C8)),ISNUMBER(SEARCH("nvda",C8)),ISNUMBER(SEARCH(" vs ",C8))),1,0)</f>
        <v>0</v>
      </c>
    </row>
    <row r="9" customFormat="false" ht="15" hidden="false" customHeight="true" outlineLevel="0" collapsed="false">
      <c r="A9" s="4" t="s">
        <v>114</v>
      </c>
      <c r="B9" s="4" t="s">
        <v>6</v>
      </c>
      <c r="C9" s="4" t="s">
        <v>115</v>
      </c>
      <c r="D9" s="4" t="s">
        <v>116</v>
      </c>
      <c r="E9" s="4" t="s">
        <v>113</v>
      </c>
      <c r="F9" s="4" t="n">
        <v>11</v>
      </c>
      <c r="G9" s="4" t="s">
        <v>102</v>
      </c>
      <c r="H9" s="4" t="n">
        <v>1</v>
      </c>
      <c r="I9" s="4" t="n">
        <v>0</v>
      </c>
      <c r="J9" s="22" t="n">
        <f aca="false">IF(ISNUMBER(SEARCH("hour",E9)),INT($J$1-VALUE(LEFT(E9,FIND(" ",E9)-1))/24),IF(ISNUMBER(SEARCH("day",E9)),$J$1-VALUE(LEFT(E9,FIND(" ",E9)-1)),DATE(2000+VALUE(RIGHT(E9,2)),MATCH(MID(E9,FIND("-",E9)+1,3),{"Jan","Feb","Mar","Apr","May","Jun","Jul","Aug","Sep","Oct","Nov","Dec"},0),VALUE(LEFT(E9,FIND("-",E9)-1)))))</f>
        <v>46294</v>
      </c>
      <c r="K9" s="1" t="n">
        <f aca="false">YEAR(J9)*100+MONTH(J9)</f>
        <v>202609</v>
      </c>
      <c r="L9" s="1" t="n">
        <f aca="false">IF(OR(ISNUMBER(SEARCH("stock",C9)),ISNUMBER(SEARCH("forecast",C9)),ISNUMBER(SEARCH("earnings",C9)),ISNUMBER(SEARCH("ipo ",C9&amp;" ")),ISNUMBER(SEARCH("ipo,",C9)),ISNUMBER(SEARCH("lockup",C9)),ISNUMBER(SEARCH("price",C9)),ISNUMBER(SEARCH("mstr",C9)),ISNUMBER(SEARCH("tsm",C9)),ISNUMBER(SEARCH("nvda",C9)),ISNUMBER(SEARCH(" vs ",C9))),1,0)</f>
        <v>1</v>
      </c>
    </row>
    <row r="10" customFormat="false" ht="15" hidden="false" customHeight="true" outlineLevel="0" collapsed="false">
      <c r="A10" s="4" t="s">
        <v>117</v>
      </c>
      <c r="B10" s="4" t="s">
        <v>6</v>
      </c>
      <c r="C10" s="4" t="s">
        <v>118</v>
      </c>
      <c r="D10" s="4" t="s">
        <v>112</v>
      </c>
      <c r="E10" s="4" t="s">
        <v>119</v>
      </c>
      <c r="F10" s="4" t="n">
        <v>10</v>
      </c>
      <c r="G10" s="4" t="s">
        <v>109</v>
      </c>
      <c r="H10" s="4" t="n">
        <v>1</v>
      </c>
      <c r="I10" s="4" t="n">
        <v>0</v>
      </c>
      <c r="J10" s="22" t="n">
        <f aca="false">IF(ISNUMBER(SEARCH("hour",E10)),INT($J$1-VALUE(LEFT(E10,FIND(" ",E10)-1))/24),IF(ISNUMBER(SEARCH("day",E10)),$J$1-VALUE(LEFT(E10,FIND(" ",E10)-1)),DATE(2000+VALUE(RIGHT(E10,2)),MATCH(MID(E10,FIND("-",E10)+1,3),{"Jan","Feb","Mar","Apr","May","Jun","Jul","Aug","Sep","Oct","Nov","Dec"},0),VALUE(LEFT(E10,FIND("-",E10)-1)))))</f>
        <v>46293</v>
      </c>
      <c r="K10" s="1" t="n">
        <f aca="false">YEAR(J10)*100+MONTH(J10)</f>
        <v>202609</v>
      </c>
      <c r="L10" s="1" t="n">
        <f aca="false">IF(OR(ISNUMBER(SEARCH("stock",C10)),ISNUMBER(SEARCH("forecast",C10)),ISNUMBER(SEARCH("earnings",C10)),ISNUMBER(SEARCH("ipo ",C10&amp;" ")),ISNUMBER(SEARCH("ipo,",C10)),ISNUMBER(SEARCH("lockup",C10)),ISNUMBER(SEARCH("price",C10)),ISNUMBER(SEARCH("mstr",C10)),ISNUMBER(SEARCH("tsm",C10)),ISNUMBER(SEARCH("nvda",C10)),ISNUMBER(SEARCH(" vs ",C10))),1,0)</f>
        <v>0</v>
      </c>
    </row>
    <row r="11" customFormat="false" ht="15" hidden="false" customHeight="true" outlineLevel="0" collapsed="false">
      <c r="A11" s="4" t="s">
        <v>120</v>
      </c>
      <c r="B11" s="4" t="s">
        <v>6</v>
      </c>
      <c r="C11" s="4" t="s">
        <v>121</v>
      </c>
      <c r="D11" s="4" t="s">
        <v>122</v>
      </c>
      <c r="E11" s="4" t="s">
        <v>123</v>
      </c>
      <c r="F11" s="4" t="n">
        <v>11</v>
      </c>
      <c r="G11" s="4" t="s">
        <v>102</v>
      </c>
      <c r="H11" s="4" t="n">
        <v>1</v>
      </c>
      <c r="I11" s="4" t="n">
        <v>1</v>
      </c>
      <c r="J11" s="22" t="n">
        <f aca="false">IF(ISNUMBER(SEARCH("hour",E11)),INT($J$1-VALUE(LEFT(E11,FIND(" ",E11)-1))/24),IF(ISNUMBER(SEARCH("day",E11)),$J$1-VALUE(LEFT(E11,FIND(" ",E11)-1)),DATE(2000+VALUE(RIGHT(E11,2)),MATCH(MID(E11,FIND("-",E11)+1,3),{"Jan","Feb","Mar","Apr","May","Jun","Jul","Aug","Sep","Oct","Nov","Dec"},0),VALUE(LEFT(E11,FIND("-",E11)-1)))))</f>
        <v>46291</v>
      </c>
      <c r="K11" s="1" t="n">
        <f aca="false">YEAR(J11)*100+MONTH(J11)</f>
        <v>202609</v>
      </c>
      <c r="L11" s="1" t="n">
        <f aca="false">IF(OR(ISNUMBER(SEARCH("stock",C11)),ISNUMBER(SEARCH("forecast",C11)),ISNUMBER(SEARCH("earnings",C11)),ISNUMBER(SEARCH("ipo ",C11&amp;" ")),ISNUMBER(SEARCH("ipo,",C11)),ISNUMBER(SEARCH("lockup",C11)),ISNUMBER(SEARCH("price",C11)),ISNUMBER(SEARCH("mstr",C11)),ISNUMBER(SEARCH("tsm",C11)),ISNUMBER(SEARCH("nvda",C11)),ISNUMBER(SEARCH(" vs ",C11))),1,0)</f>
        <v>1</v>
      </c>
    </row>
    <row r="12" customFormat="false" ht="15" hidden="false" customHeight="true" outlineLevel="0" collapsed="false">
      <c r="A12" s="4" t="s">
        <v>124</v>
      </c>
      <c r="B12" s="4" t="s">
        <v>6</v>
      </c>
      <c r="C12" s="4" t="s">
        <v>125</v>
      </c>
      <c r="D12" s="4" t="s">
        <v>122</v>
      </c>
      <c r="E12" s="4" t="s">
        <v>126</v>
      </c>
      <c r="F12" s="4" t="n">
        <v>8</v>
      </c>
      <c r="G12" s="4" t="s">
        <v>102</v>
      </c>
      <c r="H12" s="4" t="n">
        <v>1</v>
      </c>
      <c r="I12" s="4" t="n">
        <v>1</v>
      </c>
      <c r="J12" s="22" t="n">
        <f aca="false">IF(ISNUMBER(SEARCH("hour",E12)),INT($J$1-VALUE(LEFT(E12,FIND(" ",E12)-1))/24),IF(ISNUMBER(SEARCH("day",E12)),$J$1-VALUE(LEFT(E12,FIND(" ",E12)-1)),DATE(2000+VALUE(RIGHT(E12,2)),MATCH(MID(E12,FIND("-",E12)+1,3),{"Jan","Feb","Mar","Apr","May","Jun","Jul","Aug","Sep","Oct","Nov","Dec"},0),VALUE(LEFT(E12,FIND("-",E12)-1)))))</f>
        <v>46290</v>
      </c>
      <c r="K12" s="1" t="n">
        <f aca="false">YEAR(J12)*100+MONTH(J12)</f>
        <v>202609</v>
      </c>
      <c r="L12" s="1" t="n">
        <f aca="false">IF(OR(ISNUMBER(SEARCH("stock",C12)),ISNUMBER(SEARCH("forecast",C12)),ISNUMBER(SEARCH("earnings",C12)),ISNUMBER(SEARCH("ipo ",C12&amp;" ")),ISNUMBER(SEARCH("ipo,",C12)),ISNUMBER(SEARCH("lockup",C12)),ISNUMBER(SEARCH("price",C12)),ISNUMBER(SEARCH("mstr",C12)),ISNUMBER(SEARCH("tsm",C12)),ISNUMBER(SEARCH("nvda",C12)),ISNUMBER(SEARCH(" vs ",C12))),1,0)</f>
        <v>0</v>
      </c>
    </row>
    <row r="13" customFormat="false" ht="15" hidden="false" customHeight="true" outlineLevel="0" collapsed="false">
      <c r="A13" s="4" t="s">
        <v>127</v>
      </c>
      <c r="B13" s="4" t="s">
        <v>6</v>
      </c>
      <c r="C13" s="4" t="s">
        <v>128</v>
      </c>
      <c r="D13" s="4" t="s">
        <v>122</v>
      </c>
      <c r="E13" s="4" t="s">
        <v>126</v>
      </c>
      <c r="F13" s="4" t="n">
        <v>10</v>
      </c>
      <c r="G13" s="4" t="s">
        <v>102</v>
      </c>
      <c r="H13" s="4" t="n">
        <v>1</v>
      </c>
      <c r="I13" s="4" t="n">
        <v>0</v>
      </c>
      <c r="J13" s="22" t="n">
        <f aca="false">IF(ISNUMBER(SEARCH("hour",E13)),INT($J$1-VALUE(LEFT(E13,FIND(" ",E13)-1))/24),IF(ISNUMBER(SEARCH("day",E13)),$J$1-VALUE(LEFT(E13,FIND(" ",E13)-1)),DATE(2000+VALUE(RIGHT(E13,2)),MATCH(MID(E13,FIND("-",E13)+1,3),{"Jan","Feb","Mar","Apr","May","Jun","Jul","Aug","Sep","Oct","Nov","Dec"},0),VALUE(LEFT(E13,FIND("-",E13)-1)))))</f>
        <v>46290</v>
      </c>
      <c r="K13" s="1" t="n">
        <f aca="false">YEAR(J13)*100+MONTH(J13)</f>
        <v>202609</v>
      </c>
      <c r="L13" s="1" t="n">
        <f aca="false">IF(OR(ISNUMBER(SEARCH("stock",C13)),ISNUMBER(SEARCH("forecast",C13)),ISNUMBER(SEARCH("earnings",C13)),ISNUMBER(SEARCH("ipo ",C13&amp;" ")),ISNUMBER(SEARCH("ipo,",C13)),ISNUMBER(SEARCH("lockup",C13)),ISNUMBER(SEARCH("price",C13)),ISNUMBER(SEARCH("mstr",C13)),ISNUMBER(SEARCH("tsm",C13)),ISNUMBER(SEARCH("nvda",C13)),ISNUMBER(SEARCH(" vs ",C13))),1,0)</f>
        <v>1</v>
      </c>
    </row>
    <row r="14" customFormat="false" ht="15" hidden="false" customHeight="true" outlineLevel="0" collapsed="false">
      <c r="A14" s="4" t="s">
        <v>129</v>
      </c>
      <c r="B14" s="4" t="s">
        <v>6</v>
      </c>
      <c r="C14" s="4" t="s">
        <v>130</v>
      </c>
      <c r="D14" s="4" t="s">
        <v>112</v>
      </c>
      <c r="E14" s="4" t="s">
        <v>126</v>
      </c>
      <c r="F14" s="4" t="n">
        <v>8</v>
      </c>
      <c r="G14" s="4" t="s">
        <v>109</v>
      </c>
      <c r="H14" s="4" t="n">
        <v>1</v>
      </c>
      <c r="I14" s="4" t="n">
        <v>0</v>
      </c>
      <c r="J14" s="22" t="n">
        <f aca="false">IF(ISNUMBER(SEARCH("hour",E14)),INT($J$1-VALUE(LEFT(E14,FIND(" ",E14)-1))/24),IF(ISNUMBER(SEARCH("day",E14)),$J$1-VALUE(LEFT(E14,FIND(" ",E14)-1)),DATE(2000+VALUE(RIGHT(E14,2)),MATCH(MID(E14,FIND("-",E14)+1,3),{"Jan","Feb","Mar","Apr","May","Jun","Jul","Aug","Sep","Oct","Nov","Dec"},0),VALUE(LEFT(E14,FIND("-",E14)-1)))))</f>
        <v>46290</v>
      </c>
      <c r="K14" s="1" t="n">
        <f aca="false">YEAR(J14)*100+MONTH(J14)</f>
        <v>202609</v>
      </c>
      <c r="L14" s="1" t="n">
        <f aca="false">IF(OR(ISNUMBER(SEARCH("stock",C14)),ISNUMBER(SEARCH("forecast",C14)),ISNUMBER(SEARCH("earnings",C14)),ISNUMBER(SEARCH("ipo ",C14&amp;" ")),ISNUMBER(SEARCH("ipo,",C14)),ISNUMBER(SEARCH("lockup",C14)),ISNUMBER(SEARCH("price",C14)),ISNUMBER(SEARCH("mstr",C14)),ISNUMBER(SEARCH("tsm",C14)),ISNUMBER(SEARCH("nvda",C14)),ISNUMBER(SEARCH(" vs ",C14))),1,0)</f>
        <v>0</v>
      </c>
    </row>
    <row r="15" customFormat="false" ht="15" hidden="false" customHeight="true" outlineLevel="0" collapsed="false">
      <c r="A15" s="4" t="s">
        <v>131</v>
      </c>
      <c r="B15" s="4" t="s">
        <v>6</v>
      </c>
      <c r="C15" s="4" t="s">
        <v>132</v>
      </c>
      <c r="D15" s="4" t="s">
        <v>122</v>
      </c>
      <c r="E15" s="4" t="s">
        <v>133</v>
      </c>
      <c r="F15" s="4" t="n">
        <v>8</v>
      </c>
      <c r="G15" s="4" t="s">
        <v>102</v>
      </c>
      <c r="H15" s="4" t="n">
        <v>1</v>
      </c>
      <c r="I15" s="4" t="n">
        <v>1</v>
      </c>
      <c r="J15" s="22" t="n">
        <f aca="false">IF(ISNUMBER(SEARCH("hour",E15)),INT($J$1-VALUE(LEFT(E15,FIND(" ",E15)-1))/24),IF(ISNUMBER(SEARCH("day",E15)),$J$1-VALUE(LEFT(E15,FIND(" ",E15)-1)),DATE(2000+VALUE(RIGHT(E15,2)),MATCH(MID(E15,FIND("-",E15)+1,3),{"Jan","Feb","Mar","Apr","May","Jun","Jul","Aug","Sep","Oct","Nov","Dec"},0),VALUE(LEFT(E15,FIND("-",E15)-1)))))</f>
        <v>46288</v>
      </c>
      <c r="K15" s="1" t="n">
        <f aca="false">YEAR(J15)*100+MONTH(J15)</f>
        <v>202609</v>
      </c>
      <c r="L15" s="1" t="n">
        <f aca="false">IF(OR(ISNUMBER(SEARCH("stock",C15)),ISNUMBER(SEARCH("forecast",C15)),ISNUMBER(SEARCH("earnings",C15)),ISNUMBER(SEARCH("ipo ",C15&amp;" ")),ISNUMBER(SEARCH("ipo,",C15)),ISNUMBER(SEARCH("lockup",C15)),ISNUMBER(SEARCH("price",C15)),ISNUMBER(SEARCH("mstr",C15)),ISNUMBER(SEARCH("tsm",C15)),ISNUMBER(SEARCH("nvda",C15)),ISNUMBER(SEARCH(" vs ",C15))),1,0)</f>
        <v>1</v>
      </c>
    </row>
    <row r="16" customFormat="false" ht="15" hidden="false" customHeight="true" outlineLevel="0" collapsed="false">
      <c r="A16" s="4" t="s">
        <v>134</v>
      </c>
      <c r="B16" s="4" t="s">
        <v>6</v>
      </c>
      <c r="C16" s="4" t="s">
        <v>135</v>
      </c>
      <c r="D16" s="4" t="s">
        <v>112</v>
      </c>
      <c r="E16" s="4" t="s">
        <v>133</v>
      </c>
      <c r="F16" s="4" t="n">
        <v>9</v>
      </c>
      <c r="G16" s="4" t="s">
        <v>102</v>
      </c>
      <c r="H16" s="4" t="n">
        <v>1</v>
      </c>
      <c r="I16" s="4" t="n">
        <v>1</v>
      </c>
      <c r="J16" s="22" t="n">
        <f aca="false">IF(ISNUMBER(SEARCH("hour",E16)),INT($J$1-VALUE(LEFT(E16,FIND(" ",E16)-1))/24),IF(ISNUMBER(SEARCH("day",E16)),$J$1-VALUE(LEFT(E16,FIND(" ",E16)-1)),DATE(2000+VALUE(RIGHT(E16,2)),MATCH(MID(E16,FIND("-",E16)+1,3),{"Jan","Feb","Mar","Apr","May","Jun","Jul","Aug","Sep","Oct","Nov","Dec"},0),VALUE(LEFT(E16,FIND("-",E16)-1)))))</f>
        <v>46288</v>
      </c>
      <c r="K16" s="1" t="n">
        <f aca="false">YEAR(J16)*100+MONTH(J16)</f>
        <v>202609</v>
      </c>
      <c r="L16" s="1" t="n">
        <f aca="false">IF(OR(ISNUMBER(SEARCH("stock",C16)),ISNUMBER(SEARCH("forecast",C16)),ISNUMBER(SEARCH("earnings",C16)),ISNUMBER(SEARCH("ipo ",C16&amp;" ")),ISNUMBER(SEARCH("ipo,",C16)),ISNUMBER(SEARCH("lockup",C16)),ISNUMBER(SEARCH("price",C16)),ISNUMBER(SEARCH("mstr",C16)),ISNUMBER(SEARCH("tsm",C16)),ISNUMBER(SEARCH("nvda",C16)),ISNUMBER(SEARCH(" vs ",C16))),1,0)</f>
        <v>1</v>
      </c>
    </row>
    <row r="17" customFormat="false" ht="15" hidden="false" customHeight="true" outlineLevel="0" collapsed="false">
      <c r="A17" s="4" t="s">
        <v>136</v>
      </c>
      <c r="B17" s="4" t="s">
        <v>6</v>
      </c>
      <c r="C17" s="4" t="s">
        <v>137</v>
      </c>
      <c r="D17" s="4" t="s">
        <v>95</v>
      </c>
      <c r="E17" s="4" t="s">
        <v>138</v>
      </c>
      <c r="F17" s="4" t="n">
        <v>13</v>
      </c>
      <c r="G17" s="4" t="s">
        <v>139</v>
      </c>
      <c r="H17" s="4" t="n">
        <v>0</v>
      </c>
      <c r="I17" s="4" t="n">
        <v>0</v>
      </c>
      <c r="J17" s="22" t="n">
        <f aca="false">IF(ISNUMBER(SEARCH("hour",E17)),INT($J$1-VALUE(LEFT(E17,FIND(" ",E17)-1))/24),IF(ISNUMBER(SEARCH("day",E17)),$J$1-VALUE(LEFT(E17,FIND(" ",E17)-1)),DATE(2000+VALUE(RIGHT(E17,2)),MATCH(MID(E17,FIND("-",E17)+1,3),{"Jan","Feb","Mar","Apr","May","Jun","Jul","Aug","Sep","Oct","Nov","Dec"},0),VALUE(LEFT(E17,FIND("-",E17)-1)))))</f>
        <v>46287</v>
      </c>
      <c r="K17" s="1" t="n">
        <f aca="false">YEAR(J17)*100+MONTH(J17)</f>
        <v>202609</v>
      </c>
      <c r="L17" s="1" t="n">
        <f aca="false">IF(OR(ISNUMBER(SEARCH("stock",C17)),ISNUMBER(SEARCH("forecast",C17)),ISNUMBER(SEARCH("earnings",C17)),ISNUMBER(SEARCH("ipo ",C17&amp;" ")),ISNUMBER(SEARCH("ipo,",C17)),ISNUMBER(SEARCH("lockup",C17)),ISNUMBER(SEARCH("price",C17)),ISNUMBER(SEARCH("mstr",C17)),ISNUMBER(SEARCH("tsm",C17)),ISNUMBER(SEARCH("nvda",C17)),ISNUMBER(SEARCH(" vs ",C17))),1,0)</f>
        <v>0</v>
      </c>
    </row>
    <row r="18" customFormat="false" ht="15" hidden="false" customHeight="true" outlineLevel="0" collapsed="false">
      <c r="A18" s="4" t="s">
        <v>140</v>
      </c>
      <c r="B18" s="4" t="s">
        <v>6</v>
      </c>
      <c r="C18" s="4" t="s">
        <v>141</v>
      </c>
      <c r="D18" s="4" t="s">
        <v>122</v>
      </c>
      <c r="E18" s="4" t="s">
        <v>138</v>
      </c>
      <c r="F18" s="4" t="n">
        <v>11</v>
      </c>
      <c r="G18" s="4" t="s">
        <v>102</v>
      </c>
      <c r="H18" s="4" t="n">
        <v>1</v>
      </c>
      <c r="I18" s="4" t="n">
        <v>1</v>
      </c>
      <c r="J18" s="22" t="n">
        <f aca="false">IF(ISNUMBER(SEARCH("hour",E18)),INT($J$1-VALUE(LEFT(E18,FIND(" ",E18)-1))/24),IF(ISNUMBER(SEARCH("day",E18)),$J$1-VALUE(LEFT(E18,FIND(" ",E18)-1)),DATE(2000+VALUE(RIGHT(E18,2)),MATCH(MID(E18,FIND("-",E18)+1,3),{"Jan","Feb","Mar","Apr","May","Jun","Jul","Aug","Sep","Oct","Nov","Dec"},0),VALUE(LEFT(E18,FIND("-",E18)-1)))))</f>
        <v>46287</v>
      </c>
      <c r="K18" s="1" t="n">
        <f aca="false">YEAR(J18)*100+MONTH(J18)</f>
        <v>202609</v>
      </c>
      <c r="L18" s="1" t="n">
        <f aca="false">IF(OR(ISNUMBER(SEARCH("stock",C18)),ISNUMBER(SEARCH("forecast",C18)),ISNUMBER(SEARCH("earnings",C18)),ISNUMBER(SEARCH("ipo ",C18&amp;" ")),ISNUMBER(SEARCH("ipo,",C18)),ISNUMBER(SEARCH("lockup",C18)),ISNUMBER(SEARCH("price",C18)),ISNUMBER(SEARCH("mstr",C18)),ISNUMBER(SEARCH("tsm",C18)),ISNUMBER(SEARCH("nvda",C18)),ISNUMBER(SEARCH(" vs ",C18))),1,0)</f>
        <v>1</v>
      </c>
    </row>
    <row r="19" customFormat="false" ht="15" hidden="false" customHeight="true" outlineLevel="0" collapsed="false">
      <c r="A19" s="4" t="s">
        <v>142</v>
      </c>
      <c r="B19" s="4" t="s">
        <v>6</v>
      </c>
      <c r="C19" s="4" t="s">
        <v>143</v>
      </c>
      <c r="D19" s="4" t="s">
        <v>116</v>
      </c>
      <c r="E19" s="4" t="s">
        <v>138</v>
      </c>
      <c r="F19" s="4" t="n">
        <v>13</v>
      </c>
      <c r="G19" s="4" t="s">
        <v>102</v>
      </c>
      <c r="H19" s="4" t="n">
        <v>1</v>
      </c>
      <c r="I19" s="4" t="n">
        <v>1</v>
      </c>
      <c r="J19" s="22" t="n">
        <f aca="false">IF(ISNUMBER(SEARCH("hour",E19)),INT($J$1-VALUE(LEFT(E19,FIND(" ",E19)-1))/24),IF(ISNUMBER(SEARCH("day",E19)),$J$1-VALUE(LEFT(E19,FIND(" ",E19)-1)),DATE(2000+VALUE(RIGHT(E19,2)),MATCH(MID(E19,FIND("-",E19)+1,3),{"Jan","Feb","Mar","Apr","May","Jun","Jul","Aug","Sep","Oct","Nov","Dec"},0),VALUE(LEFT(E19,FIND("-",E19)-1)))))</f>
        <v>46287</v>
      </c>
      <c r="K19" s="1" t="n">
        <f aca="false">YEAR(J19)*100+MONTH(J19)</f>
        <v>202609</v>
      </c>
      <c r="L19" s="1" t="n">
        <f aca="false">IF(OR(ISNUMBER(SEARCH("stock",C19)),ISNUMBER(SEARCH("forecast",C19)),ISNUMBER(SEARCH("earnings",C19)),ISNUMBER(SEARCH("ipo ",C19&amp;" ")),ISNUMBER(SEARCH("ipo,",C19)),ISNUMBER(SEARCH("lockup",C19)),ISNUMBER(SEARCH("price",C19)),ISNUMBER(SEARCH("mstr",C19)),ISNUMBER(SEARCH("tsm",C19)),ISNUMBER(SEARCH("nvda",C19)),ISNUMBER(SEARCH(" vs ",C19))),1,0)</f>
        <v>1</v>
      </c>
    </row>
    <row r="20" customFormat="false" ht="15" hidden="false" customHeight="true" outlineLevel="0" collapsed="false">
      <c r="A20" s="4" t="s">
        <v>144</v>
      </c>
      <c r="B20" s="4" t="s">
        <v>6</v>
      </c>
      <c r="C20" s="4" t="s">
        <v>145</v>
      </c>
      <c r="D20" s="4" t="s">
        <v>112</v>
      </c>
      <c r="E20" s="4" t="s">
        <v>138</v>
      </c>
      <c r="F20" s="4" t="n">
        <v>14</v>
      </c>
      <c r="G20" s="4" t="s">
        <v>102</v>
      </c>
      <c r="H20" s="4" t="n">
        <v>1</v>
      </c>
      <c r="I20" s="4" t="n">
        <v>1</v>
      </c>
      <c r="J20" s="22" t="n">
        <f aca="false">IF(ISNUMBER(SEARCH("hour",E20)),INT($J$1-VALUE(LEFT(E20,FIND(" ",E20)-1))/24),IF(ISNUMBER(SEARCH("day",E20)),$J$1-VALUE(LEFT(E20,FIND(" ",E20)-1)),DATE(2000+VALUE(RIGHT(E20,2)),MATCH(MID(E20,FIND("-",E20)+1,3),{"Jan","Feb","Mar","Apr","May","Jun","Jul","Aug","Sep","Oct","Nov","Dec"},0),VALUE(LEFT(E20,FIND("-",E20)-1)))))</f>
        <v>46287</v>
      </c>
      <c r="K20" s="1" t="n">
        <f aca="false">YEAR(J20)*100+MONTH(J20)</f>
        <v>202609</v>
      </c>
      <c r="L20" s="1" t="n">
        <f aca="false">IF(OR(ISNUMBER(SEARCH("stock",C20)),ISNUMBER(SEARCH("forecast",C20)),ISNUMBER(SEARCH("earnings",C20)),ISNUMBER(SEARCH("ipo ",C20&amp;" ")),ISNUMBER(SEARCH("ipo,",C20)),ISNUMBER(SEARCH("lockup",C20)),ISNUMBER(SEARCH("price",C20)),ISNUMBER(SEARCH("mstr",C20)),ISNUMBER(SEARCH("tsm",C20)),ISNUMBER(SEARCH("nvda",C20)),ISNUMBER(SEARCH(" vs ",C20))),1,0)</f>
        <v>0</v>
      </c>
    </row>
    <row r="21" customFormat="false" ht="15" hidden="false" customHeight="true" outlineLevel="0" collapsed="false">
      <c r="A21" s="4" t="s">
        <v>146</v>
      </c>
      <c r="B21" s="4" t="s">
        <v>6</v>
      </c>
      <c r="C21" s="4" t="s">
        <v>147</v>
      </c>
      <c r="D21" s="4" t="s">
        <v>148</v>
      </c>
      <c r="E21" s="4" t="s">
        <v>149</v>
      </c>
      <c r="F21" s="4" t="n">
        <v>11</v>
      </c>
      <c r="G21" s="4" t="s">
        <v>102</v>
      </c>
      <c r="H21" s="4" t="n">
        <v>1</v>
      </c>
      <c r="I21" s="4" t="n">
        <v>1</v>
      </c>
      <c r="J21" s="22" t="n">
        <f aca="false">IF(ISNUMBER(SEARCH("hour",E21)),INT($J$1-VALUE(LEFT(E21,FIND(" ",E21)-1))/24),IF(ISNUMBER(SEARCH("day",E21)),$J$1-VALUE(LEFT(E21,FIND(" ",E21)-1)),DATE(2000+VALUE(RIGHT(E21,2)),MATCH(MID(E21,FIND("-",E21)+1,3),{"Jan","Feb","Mar","Apr","May","Jun","Jul","Aug","Sep","Oct","Nov","Dec"},0),VALUE(LEFT(E21,FIND("-",E21)-1)))))</f>
        <v>46286</v>
      </c>
      <c r="K21" s="1" t="n">
        <f aca="false">YEAR(J21)*100+MONTH(J21)</f>
        <v>202609</v>
      </c>
      <c r="L21" s="1" t="n">
        <f aca="false">IF(OR(ISNUMBER(SEARCH("stock",C21)),ISNUMBER(SEARCH("forecast",C21)),ISNUMBER(SEARCH("earnings",C21)),ISNUMBER(SEARCH("ipo ",C21&amp;" ")),ISNUMBER(SEARCH("ipo,",C21)),ISNUMBER(SEARCH("lockup",C21)),ISNUMBER(SEARCH("price",C21)),ISNUMBER(SEARCH("mstr",C21)),ISNUMBER(SEARCH("tsm",C21)),ISNUMBER(SEARCH("nvda",C21)),ISNUMBER(SEARCH(" vs ",C21))),1,0)</f>
        <v>0</v>
      </c>
    </row>
    <row r="22" customFormat="false" ht="15" hidden="false" customHeight="true" outlineLevel="0" collapsed="false">
      <c r="A22" s="4" t="s">
        <v>150</v>
      </c>
      <c r="B22" s="4" t="s">
        <v>6</v>
      </c>
      <c r="C22" s="4" t="s">
        <v>151</v>
      </c>
      <c r="D22" s="4" t="s">
        <v>116</v>
      </c>
      <c r="E22" s="4" t="s">
        <v>149</v>
      </c>
      <c r="F22" s="4" t="n">
        <v>14</v>
      </c>
      <c r="G22" s="4" t="s">
        <v>102</v>
      </c>
      <c r="H22" s="4" t="n">
        <v>1</v>
      </c>
      <c r="I22" s="4" t="n">
        <v>1</v>
      </c>
      <c r="J22" s="22" t="n">
        <f aca="false">IF(ISNUMBER(SEARCH("hour",E22)),INT($J$1-VALUE(LEFT(E22,FIND(" ",E22)-1))/24),IF(ISNUMBER(SEARCH("day",E22)),$J$1-VALUE(LEFT(E22,FIND(" ",E22)-1)),DATE(2000+VALUE(RIGHT(E22,2)),MATCH(MID(E22,FIND("-",E22)+1,3),{"Jan","Feb","Mar","Apr","May","Jun","Jul","Aug","Sep","Oct","Nov","Dec"},0),VALUE(LEFT(E22,FIND("-",E22)-1)))))</f>
        <v>46286</v>
      </c>
      <c r="K22" s="1" t="n">
        <f aca="false">YEAR(J22)*100+MONTH(J22)</f>
        <v>202609</v>
      </c>
      <c r="L22" s="1" t="n">
        <f aca="false">IF(OR(ISNUMBER(SEARCH("stock",C22)),ISNUMBER(SEARCH("forecast",C22)),ISNUMBER(SEARCH("earnings",C22)),ISNUMBER(SEARCH("ipo ",C22&amp;" ")),ISNUMBER(SEARCH("ipo,",C22)),ISNUMBER(SEARCH("lockup",C22)),ISNUMBER(SEARCH("price",C22)),ISNUMBER(SEARCH("mstr",C22)),ISNUMBER(SEARCH("tsm",C22)),ISNUMBER(SEARCH("nvda",C22)),ISNUMBER(SEARCH(" vs ",C22))),1,0)</f>
        <v>1</v>
      </c>
    </row>
    <row r="23" customFormat="false" ht="15" hidden="false" customHeight="true" outlineLevel="0" collapsed="false">
      <c r="A23" s="4" t="s">
        <v>152</v>
      </c>
      <c r="B23" s="4" t="s">
        <v>6</v>
      </c>
      <c r="C23" s="4" t="s">
        <v>153</v>
      </c>
      <c r="D23" s="4" t="s">
        <v>154</v>
      </c>
      <c r="E23" s="4" t="s">
        <v>149</v>
      </c>
      <c r="F23" s="4" t="n">
        <v>11</v>
      </c>
      <c r="G23" s="4" t="s">
        <v>109</v>
      </c>
      <c r="H23" s="4" t="n">
        <v>1</v>
      </c>
      <c r="I23" s="4" t="n">
        <v>0</v>
      </c>
      <c r="J23" s="22" t="n">
        <f aca="false">IF(ISNUMBER(SEARCH("hour",E23)),INT($J$1-VALUE(LEFT(E23,FIND(" ",E23)-1))/24),IF(ISNUMBER(SEARCH("day",E23)),$J$1-VALUE(LEFT(E23,FIND(" ",E23)-1)),DATE(2000+VALUE(RIGHT(E23,2)),MATCH(MID(E23,FIND("-",E23)+1,3),{"Jan","Feb","Mar","Apr","May","Jun","Jul","Aug","Sep","Oct","Nov","Dec"},0),VALUE(LEFT(E23,FIND("-",E23)-1)))))</f>
        <v>46286</v>
      </c>
      <c r="K23" s="1" t="n">
        <f aca="false">YEAR(J23)*100+MONTH(J23)</f>
        <v>202609</v>
      </c>
      <c r="L23" s="1" t="n">
        <f aca="false">IF(OR(ISNUMBER(SEARCH("stock",C23)),ISNUMBER(SEARCH("forecast",C23)),ISNUMBER(SEARCH("earnings",C23)),ISNUMBER(SEARCH("ipo ",C23&amp;" ")),ISNUMBER(SEARCH("ipo,",C23)),ISNUMBER(SEARCH("lockup",C23)),ISNUMBER(SEARCH("price",C23)),ISNUMBER(SEARCH("mstr",C23)),ISNUMBER(SEARCH("tsm",C23)),ISNUMBER(SEARCH("nvda",C23)),ISNUMBER(SEARCH(" vs ",C23))),1,0)</f>
        <v>0</v>
      </c>
    </row>
    <row r="24" customFormat="false" ht="15" hidden="false" customHeight="true" outlineLevel="0" collapsed="false">
      <c r="A24" s="4" t="s">
        <v>155</v>
      </c>
      <c r="B24" s="4" t="s">
        <v>7</v>
      </c>
      <c r="C24" s="4" t="s">
        <v>156</v>
      </c>
      <c r="D24" s="4" t="s">
        <v>95</v>
      </c>
      <c r="E24" s="4" t="s">
        <v>157</v>
      </c>
      <c r="F24" s="4" t="n">
        <v>8</v>
      </c>
      <c r="G24" s="4" t="s">
        <v>102</v>
      </c>
      <c r="H24" s="4" t="n">
        <v>1</v>
      </c>
      <c r="I24" s="4" t="n">
        <v>0</v>
      </c>
      <c r="J24" s="22" t="n">
        <f aca="false">IF(ISNUMBER(SEARCH("hour",E24)),INT($J$1-VALUE(LEFT(E24,FIND(" ",E24)-1))/24),IF(ISNUMBER(SEARCH("day",E24)),$J$1-VALUE(LEFT(E24,FIND(" ",E24)-1)),DATE(2000+VALUE(RIGHT(E24,2)),MATCH(MID(E24,FIND("-",E24)+1,3),{"Jan","Feb","Mar","Apr","May","Jun","Jul","Aug","Sep","Oct","Nov","Dec"},0),VALUE(LEFT(E24,FIND("-",E24)-1)))))</f>
        <v>46297</v>
      </c>
      <c r="K24" s="1" t="n">
        <f aca="false">YEAR(J24)*100+MONTH(J24)</f>
        <v>202610</v>
      </c>
      <c r="L24" s="1" t="n">
        <f aca="false">IF(OR(ISNUMBER(SEARCH("stock",C24)),ISNUMBER(SEARCH("forecast",C24)),ISNUMBER(SEARCH("earnings",C24)),ISNUMBER(SEARCH("ipo ",C24&amp;" ")),ISNUMBER(SEARCH("ipo,",C24)),ISNUMBER(SEARCH("lockup",C24)),ISNUMBER(SEARCH("price",C24)),ISNUMBER(SEARCH("mstr",C24)),ISNUMBER(SEARCH("tsm",C24)),ISNUMBER(SEARCH("nvda",C24)),ISNUMBER(SEARCH(" vs ",C24))),1,0)</f>
        <v>0</v>
      </c>
    </row>
    <row r="25" customFormat="false" ht="15" hidden="false" customHeight="true" outlineLevel="0" collapsed="false">
      <c r="A25" s="4" t="s">
        <v>158</v>
      </c>
      <c r="B25" s="4" t="s">
        <v>7</v>
      </c>
      <c r="C25" s="4" t="s">
        <v>159</v>
      </c>
      <c r="D25" s="4" t="s">
        <v>122</v>
      </c>
      <c r="E25" s="4" t="s">
        <v>160</v>
      </c>
      <c r="F25" s="4" t="n">
        <v>13</v>
      </c>
      <c r="G25" s="4" t="s">
        <v>102</v>
      </c>
      <c r="H25" s="4" t="n">
        <v>1</v>
      </c>
      <c r="I25" s="4" t="n">
        <v>0</v>
      </c>
      <c r="J25" s="22" t="n">
        <f aca="false">IF(ISNUMBER(SEARCH("hour",E25)),INT($J$1-VALUE(LEFT(E25,FIND(" ",E25)-1))/24),IF(ISNUMBER(SEARCH("day",E25)),$J$1-VALUE(LEFT(E25,FIND(" ",E25)-1)),DATE(2000+VALUE(RIGHT(E25,2)),MATCH(MID(E25,FIND("-",E25)+1,3),{"Jan","Feb","Mar","Apr","May","Jun","Jul","Aug","Sep","Oct","Nov","Dec"},0),VALUE(LEFT(E25,FIND("-",E25)-1)))))</f>
        <v>46253</v>
      </c>
      <c r="K25" s="1" t="n">
        <f aca="false">YEAR(J25)*100+MONTH(J25)</f>
        <v>202608</v>
      </c>
      <c r="L25" s="1" t="n">
        <f aca="false">IF(OR(ISNUMBER(SEARCH("stock",C25)),ISNUMBER(SEARCH("forecast",C25)),ISNUMBER(SEARCH("earnings",C25)),ISNUMBER(SEARCH("ipo ",C25&amp;" ")),ISNUMBER(SEARCH("ipo,",C25)),ISNUMBER(SEARCH("lockup",C25)),ISNUMBER(SEARCH("price",C25)),ISNUMBER(SEARCH("mstr",C25)),ISNUMBER(SEARCH("tsm",C25)),ISNUMBER(SEARCH("nvda",C25)),ISNUMBER(SEARCH(" vs ",C25))),1,0)</f>
        <v>0</v>
      </c>
    </row>
    <row r="26" customFormat="false" ht="15" hidden="false" customHeight="true" outlineLevel="0" collapsed="false">
      <c r="A26" s="4" t="s">
        <v>161</v>
      </c>
      <c r="B26" s="4" t="s">
        <v>7</v>
      </c>
      <c r="C26" s="4" t="s">
        <v>162</v>
      </c>
      <c r="D26" s="4" t="s">
        <v>116</v>
      </c>
      <c r="E26" s="4" t="s">
        <v>160</v>
      </c>
      <c r="F26" s="4" t="n">
        <v>12</v>
      </c>
      <c r="G26" s="4" t="s">
        <v>102</v>
      </c>
      <c r="H26" s="4" t="n">
        <v>1</v>
      </c>
      <c r="I26" s="4" t="n">
        <v>0</v>
      </c>
      <c r="J26" s="22" t="n">
        <f aca="false">IF(ISNUMBER(SEARCH("hour",E26)),INT($J$1-VALUE(LEFT(E26,FIND(" ",E26)-1))/24),IF(ISNUMBER(SEARCH("day",E26)),$J$1-VALUE(LEFT(E26,FIND(" ",E26)-1)),DATE(2000+VALUE(RIGHT(E26,2)),MATCH(MID(E26,FIND("-",E26)+1,3),{"Jan","Feb","Mar","Apr","May","Jun","Jul","Aug","Sep","Oct","Nov","Dec"},0),VALUE(LEFT(E26,FIND("-",E26)-1)))))</f>
        <v>46253</v>
      </c>
      <c r="K26" s="1" t="n">
        <f aca="false">YEAR(J26)*100+MONTH(J26)</f>
        <v>202608</v>
      </c>
      <c r="L26" s="1" t="n">
        <f aca="false">IF(OR(ISNUMBER(SEARCH("stock",C26)),ISNUMBER(SEARCH("forecast",C26)),ISNUMBER(SEARCH("earnings",C26)),ISNUMBER(SEARCH("ipo ",C26&amp;" ")),ISNUMBER(SEARCH("ipo,",C26)),ISNUMBER(SEARCH("lockup",C26)),ISNUMBER(SEARCH("price",C26)),ISNUMBER(SEARCH("mstr",C26)),ISNUMBER(SEARCH("tsm",C26)),ISNUMBER(SEARCH("nvda",C26)),ISNUMBER(SEARCH(" vs ",C26))),1,0)</f>
        <v>0</v>
      </c>
    </row>
    <row r="27" customFormat="false" ht="15" hidden="false" customHeight="true" outlineLevel="0" collapsed="false">
      <c r="A27" s="4" t="s">
        <v>163</v>
      </c>
      <c r="B27" s="4" t="s">
        <v>7</v>
      </c>
      <c r="C27" s="4" t="s">
        <v>164</v>
      </c>
      <c r="D27" s="4" t="s">
        <v>100</v>
      </c>
      <c r="E27" s="4" t="s">
        <v>160</v>
      </c>
      <c r="F27" s="4" t="n">
        <v>12</v>
      </c>
      <c r="G27" s="4" t="s">
        <v>102</v>
      </c>
      <c r="H27" s="4" t="n">
        <v>1</v>
      </c>
      <c r="I27" s="4" t="n">
        <v>0</v>
      </c>
      <c r="J27" s="22" t="n">
        <f aca="false">IF(ISNUMBER(SEARCH("hour",E27)),INT($J$1-VALUE(LEFT(E27,FIND(" ",E27)-1))/24),IF(ISNUMBER(SEARCH("day",E27)),$J$1-VALUE(LEFT(E27,FIND(" ",E27)-1)),DATE(2000+VALUE(RIGHT(E27,2)),MATCH(MID(E27,FIND("-",E27)+1,3),{"Jan","Feb","Mar","Apr","May","Jun","Jul","Aug","Sep","Oct","Nov","Dec"},0),VALUE(LEFT(E27,FIND("-",E27)-1)))))</f>
        <v>46253</v>
      </c>
      <c r="K27" s="1" t="n">
        <f aca="false">YEAR(J27)*100+MONTH(J27)</f>
        <v>202608</v>
      </c>
      <c r="L27" s="1" t="n">
        <f aca="false">IF(OR(ISNUMBER(SEARCH("stock",C27)),ISNUMBER(SEARCH("forecast",C27)),ISNUMBER(SEARCH("earnings",C27)),ISNUMBER(SEARCH("ipo ",C27&amp;" ")),ISNUMBER(SEARCH("ipo,",C27)),ISNUMBER(SEARCH("lockup",C27)),ISNUMBER(SEARCH("price",C27)),ISNUMBER(SEARCH("mstr",C27)),ISNUMBER(SEARCH("tsm",C27)),ISNUMBER(SEARCH("nvda",C27)),ISNUMBER(SEARCH(" vs ",C27))),1,0)</f>
        <v>1</v>
      </c>
    </row>
    <row r="28" customFormat="false" ht="15" hidden="false" customHeight="true" outlineLevel="0" collapsed="false">
      <c r="A28" s="4" t="s">
        <v>165</v>
      </c>
      <c r="B28" s="4" t="s">
        <v>7</v>
      </c>
      <c r="C28" s="4" t="s">
        <v>166</v>
      </c>
      <c r="D28" s="4" t="s">
        <v>148</v>
      </c>
      <c r="E28" s="4" t="s">
        <v>160</v>
      </c>
      <c r="F28" s="4" t="n">
        <v>11</v>
      </c>
      <c r="G28" s="4" t="s">
        <v>102</v>
      </c>
      <c r="H28" s="4" t="n">
        <v>0</v>
      </c>
      <c r="I28" s="4" t="n">
        <v>1</v>
      </c>
      <c r="J28" s="22" t="n">
        <f aca="false">IF(ISNUMBER(SEARCH("hour",E28)),INT($J$1-VALUE(LEFT(E28,FIND(" ",E28)-1))/24),IF(ISNUMBER(SEARCH("day",E28)),$J$1-VALUE(LEFT(E28,FIND(" ",E28)-1)),DATE(2000+VALUE(RIGHT(E28,2)),MATCH(MID(E28,FIND("-",E28)+1,3),{"Jan","Feb","Mar","Apr","May","Jun","Jul","Aug","Sep","Oct","Nov","Dec"},0),VALUE(LEFT(E28,FIND("-",E28)-1)))))</f>
        <v>46253</v>
      </c>
      <c r="K28" s="1" t="n">
        <f aca="false">YEAR(J28)*100+MONTH(J28)</f>
        <v>202608</v>
      </c>
      <c r="L28" s="1" t="n">
        <f aca="false">IF(OR(ISNUMBER(SEARCH("stock",C28)),ISNUMBER(SEARCH("forecast",C28)),ISNUMBER(SEARCH("earnings",C28)),ISNUMBER(SEARCH("ipo ",C28&amp;" ")),ISNUMBER(SEARCH("ipo,",C28)),ISNUMBER(SEARCH("lockup",C28)),ISNUMBER(SEARCH("price",C28)),ISNUMBER(SEARCH("mstr",C28)),ISNUMBER(SEARCH("tsm",C28)),ISNUMBER(SEARCH("nvda",C28)),ISNUMBER(SEARCH(" vs ",C28))),1,0)</f>
        <v>1</v>
      </c>
    </row>
    <row r="29" customFormat="false" ht="15" hidden="false" customHeight="true" outlineLevel="0" collapsed="false">
      <c r="A29" s="4" t="s">
        <v>167</v>
      </c>
      <c r="B29" s="4" t="s">
        <v>7</v>
      </c>
      <c r="C29" s="4" t="s">
        <v>168</v>
      </c>
      <c r="D29" s="4" t="s">
        <v>116</v>
      </c>
      <c r="E29" s="4" t="s">
        <v>169</v>
      </c>
      <c r="F29" s="4" t="n">
        <v>13</v>
      </c>
      <c r="G29" s="4" t="s">
        <v>109</v>
      </c>
      <c r="H29" s="4" t="n">
        <v>1</v>
      </c>
      <c r="I29" s="4" t="n">
        <v>1</v>
      </c>
      <c r="J29" s="22" t="n">
        <f aca="false">IF(ISNUMBER(SEARCH("hour",E29)),INT($J$1-VALUE(LEFT(E29,FIND(" ",E29)-1))/24),IF(ISNUMBER(SEARCH("day",E29)),$J$1-VALUE(LEFT(E29,FIND(" ",E29)-1)),DATE(2000+VALUE(RIGHT(E29,2)),MATCH(MID(E29,FIND("-",E29)+1,3),{"Jan","Feb","Mar","Apr","May","Jun","Jul","Aug","Sep","Oct","Nov","Dec"},0),VALUE(LEFT(E29,FIND("-",E29)-1)))))</f>
        <v>46244</v>
      </c>
      <c r="K29" s="1" t="n">
        <f aca="false">YEAR(J29)*100+MONTH(J29)</f>
        <v>202608</v>
      </c>
      <c r="L29" s="1" t="n">
        <f aca="false">IF(OR(ISNUMBER(SEARCH("stock",C29)),ISNUMBER(SEARCH("forecast",C29)),ISNUMBER(SEARCH("earnings",C29)),ISNUMBER(SEARCH("ipo ",C29&amp;" ")),ISNUMBER(SEARCH("ipo,",C29)),ISNUMBER(SEARCH("lockup",C29)),ISNUMBER(SEARCH("price",C29)),ISNUMBER(SEARCH("mstr",C29)),ISNUMBER(SEARCH("tsm",C29)),ISNUMBER(SEARCH("nvda",C29)),ISNUMBER(SEARCH(" vs ",C29))),1,0)</f>
        <v>0</v>
      </c>
    </row>
    <row r="30" customFormat="false" ht="15" hidden="false" customHeight="true" outlineLevel="0" collapsed="false">
      <c r="A30" s="4" t="s">
        <v>170</v>
      </c>
      <c r="B30" s="4" t="s">
        <v>7</v>
      </c>
      <c r="C30" s="4" t="s">
        <v>171</v>
      </c>
      <c r="D30" s="4" t="s">
        <v>112</v>
      </c>
      <c r="E30" s="4" t="s">
        <v>172</v>
      </c>
      <c r="F30" s="4" t="n">
        <v>11</v>
      </c>
      <c r="G30" s="4" t="s">
        <v>109</v>
      </c>
      <c r="H30" s="4" t="n">
        <v>1</v>
      </c>
      <c r="I30" s="4" t="n">
        <v>1</v>
      </c>
      <c r="J30" s="22" t="n">
        <f aca="false">IF(ISNUMBER(SEARCH("hour",E30)),INT($J$1-VALUE(LEFT(E30,FIND(" ",E30)-1))/24),IF(ISNUMBER(SEARCH("day",E30)),$J$1-VALUE(LEFT(E30,FIND(" ",E30)-1)),DATE(2000+VALUE(RIGHT(E30,2)),MATCH(MID(E30,FIND("-",E30)+1,3),{"Jan","Feb","Mar","Apr","May","Jun","Jul","Aug","Sep","Oct","Nov","Dec"},0),VALUE(LEFT(E30,FIND("-",E30)-1)))))</f>
        <v>46227</v>
      </c>
      <c r="K30" s="1" t="n">
        <f aca="false">YEAR(J30)*100+MONTH(J30)</f>
        <v>202607</v>
      </c>
      <c r="L30" s="1" t="n">
        <f aca="false">IF(OR(ISNUMBER(SEARCH("stock",C30)),ISNUMBER(SEARCH("forecast",C30)),ISNUMBER(SEARCH("earnings",C30)),ISNUMBER(SEARCH("ipo ",C30&amp;" ")),ISNUMBER(SEARCH("ipo,",C30)),ISNUMBER(SEARCH("lockup",C30)),ISNUMBER(SEARCH("price",C30)),ISNUMBER(SEARCH("mstr",C30)),ISNUMBER(SEARCH("tsm",C30)),ISNUMBER(SEARCH("nvda",C30)),ISNUMBER(SEARCH(" vs ",C30))),1,0)</f>
        <v>0</v>
      </c>
    </row>
    <row r="31" customFormat="false" ht="15" hidden="false" customHeight="true" outlineLevel="0" collapsed="false">
      <c r="A31" s="4" t="s">
        <v>173</v>
      </c>
      <c r="B31" s="4" t="s">
        <v>7</v>
      </c>
      <c r="C31" s="4" t="s">
        <v>174</v>
      </c>
      <c r="D31" s="4" t="s">
        <v>100</v>
      </c>
      <c r="E31" s="4" t="s">
        <v>175</v>
      </c>
      <c r="F31" s="4" t="n">
        <v>12</v>
      </c>
      <c r="G31" s="4" t="s">
        <v>102</v>
      </c>
      <c r="H31" s="4" t="n">
        <v>1</v>
      </c>
      <c r="I31" s="4" t="n">
        <v>1</v>
      </c>
      <c r="J31" s="22" t="n">
        <f aca="false">IF(ISNUMBER(SEARCH("hour",E31)),INT($J$1-VALUE(LEFT(E31,FIND(" ",E31)-1))/24),IF(ISNUMBER(SEARCH("day",E31)),$J$1-VALUE(LEFT(E31,FIND(" ",E31)-1)),DATE(2000+VALUE(RIGHT(E31,2)),MATCH(MID(E31,FIND("-",E31)+1,3),{"Jan","Feb","Mar","Apr","May","Jun","Jul","Aug","Sep","Oct","Nov","Dec"},0),VALUE(LEFT(E31,FIND("-",E31)-1)))))</f>
        <v>46226</v>
      </c>
      <c r="K31" s="1" t="n">
        <f aca="false">YEAR(J31)*100+MONTH(J31)</f>
        <v>202607</v>
      </c>
      <c r="L31" s="1" t="n">
        <f aca="false">IF(OR(ISNUMBER(SEARCH("stock",C31)),ISNUMBER(SEARCH("forecast",C31)),ISNUMBER(SEARCH("earnings",C31)),ISNUMBER(SEARCH("ipo ",C31&amp;" ")),ISNUMBER(SEARCH("ipo,",C31)),ISNUMBER(SEARCH("lockup",C31)),ISNUMBER(SEARCH("price",C31)),ISNUMBER(SEARCH("mstr",C31)),ISNUMBER(SEARCH("tsm",C31)),ISNUMBER(SEARCH("nvda",C31)),ISNUMBER(SEARCH(" vs ",C31))),1,0)</f>
        <v>1</v>
      </c>
    </row>
    <row r="32" customFormat="false" ht="15" hidden="false" customHeight="true" outlineLevel="0" collapsed="false">
      <c r="A32" s="4" t="s">
        <v>176</v>
      </c>
      <c r="B32" s="4" t="s">
        <v>7</v>
      </c>
      <c r="C32" s="4" t="s">
        <v>177</v>
      </c>
      <c r="D32" s="4" t="s">
        <v>178</v>
      </c>
      <c r="E32" s="4" t="s">
        <v>179</v>
      </c>
      <c r="F32" s="4" t="n">
        <v>9</v>
      </c>
      <c r="G32" s="4" t="s">
        <v>102</v>
      </c>
      <c r="H32" s="4" t="n">
        <v>1</v>
      </c>
      <c r="I32" s="4" t="n">
        <v>1</v>
      </c>
      <c r="J32" s="22" t="n">
        <f aca="false">IF(ISNUMBER(SEARCH("hour",E32)),INT($J$1-VALUE(LEFT(E32,FIND(" ",E32)-1))/24),IF(ISNUMBER(SEARCH("day",E32)),$J$1-VALUE(LEFT(E32,FIND(" ",E32)-1)),DATE(2000+VALUE(RIGHT(E32,2)),MATCH(MID(E32,FIND("-",E32)+1,3),{"Jan","Feb","Mar","Apr","May","Jun","Jul","Aug","Sep","Oct","Nov","Dec"},0),VALUE(LEFT(E32,FIND("-",E32)-1)))))</f>
        <v>46224</v>
      </c>
      <c r="K32" s="1" t="n">
        <f aca="false">YEAR(J32)*100+MONTH(J32)</f>
        <v>202607</v>
      </c>
      <c r="L32" s="1" t="n">
        <f aca="false">IF(OR(ISNUMBER(SEARCH("stock",C32)),ISNUMBER(SEARCH("forecast",C32)),ISNUMBER(SEARCH("earnings",C32)),ISNUMBER(SEARCH("ipo ",C32&amp;" ")),ISNUMBER(SEARCH("ipo,",C32)),ISNUMBER(SEARCH("lockup",C32)),ISNUMBER(SEARCH("price",C32)),ISNUMBER(SEARCH("mstr",C32)),ISNUMBER(SEARCH("tsm",C32)),ISNUMBER(SEARCH("nvda",C32)),ISNUMBER(SEARCH(" vs ",C32))),1,0)</f>
        <v>0</v>
      </c>
    </row>
    <row r="33" customFormat="false" ht="15" hidden="false" customHeight="true" outlineLevel="0" collapsed="false">
      <c r="A33" s="4" t="s">
        <v>180</v>
      </c>
      <c r="B33" s="4" t="s">
        <v>7</v>
      </c>
      <c r="C33" s="4" t="s">
        <v>181</v>
      </c>
      <c r="D33" s="4" t="s">
        <v>178</v>
      </c>
      <c r="E33" s="4" t="s">
        <v>182</v>
      </c>
      <c r="F33" s="4" t="n">
        <v>14</v>
      </c>
      <c r="G33" s="4" t="s">
        <v>102</v>
      </c>
      <c r="H33" s="4" t="n">
        <v>1</v>
      </c>
      <c r="I33" s="4" t="n">
        <v>1</v>
      </c>
      <c r="J33" s="22" t="n">
        <f aca="false">IF(ISNUMBER(SEARCH("hour",E33)),INT($J$1-VALUE(LEFT(E33,FIND(" ",E33)-1))/24),IF(ISNUMBER(SEARCH("day",E33)),$J$1-VALUE(LEFT(E33,FIND(" ",E33)-1)),DATE(2000+VALUE(RIGHT(E33,2)),MATCH(MID(E33,FIND("-",E33)+1,3),{"Jan","Feb","Mar","Apr","May","Jun","Jul","Aug","Sep","Oct","Nov","Dec"},0),VALUE(LEFT(E33,FIND("-",E33)-1)))))</f>
        <v>46220</v>
      </c>
      <c r="K33" s="1" t="n">
        <f aca="false">YEAR(J33)*100+MONTH(J33)</f>
        <v>202607</v>
      </c>
      <c r="L33" s="1" t="n">
        <f aca="false">IF(OR(ISNUMBER(SEARCH("stock",C33)),ISNUMBER(SEARCH("forecast",C33)),ISNUMBER(SEARCH("earnings",C33)),ISNUMBER(SEARCH("ipo ",C33&amp;" ")),ISNUMBER(SEARCH("ipo,",C33)),ISNUMBER(SEARCH("lockup",C33)),ISNUMBER(SEARCH("price",C33)),ISNUMBER(SEARCH("mstr",C33)),ISNUMBER(SEARCH("tsm",C33)),ISNUMBER(SEARCH("nvda",C33)),ISNUMBER(SEARCH(" vs ",C33))),1,0)</f>
        <v>1</v>
      </c>
    </row>
    <row r="34" customFormat="false" ht="15" hidden="false" customHeight="true" outlineLevel="0" collapsed="false">
      <c r="A34" s="4" t="s">
        <v>183</v>
      </c>
      <c r="B34" s="4" t="s">
        <v>7</v>
      </c>
      <c r="C34" s="4" t="s">
        <v>184</v>
      </c>
      <c r="D34" s="4" t="s">
        <v>185</v>
      </c>
      <c r="E34" s="4" t="s">
        <v>186</v>
      </c>
      <c r="F34" s="4" t="n">
        <v>8</v>
      </c>
      <c r="G34" s="4" t="s">
        <v>102</v>
      </c>
      <c r="H34" s="4" t="n">
        <v>1</v>
      </c>
      <c r="I34" s="4" t="n">
        <v>0</v>
      </c>
      <c r="J34" s="22" t="n">
        <f aca="false">IF(ISNUMBER(SEARCH("hour",E34)),INT($J$1-VALUE(LEFT(E34,FIND(" ",E34)-1))/24),IF(ISNUMBER(SEARCH("day",E34)),$J$1-VALUE(LEFT(E34,FIND(" ",E34)-1)),DATE(2000+VALUE(RIGHT(E34,2)),MATCH(MID(E34,FIND("-",E34)+1,3),{"Jan","Feb","Mar","Apr","May","Jun","Jul","Aug","Sep","Oct","Nov","Dec"},0),VALUE(LEFT(E34,FIND("-",E34)-1)))))</f>
        <v>46218</v>
      </c>
      <c r="K34" s="1" t="n">
        <f aca="false">YEAR(J34)*100+MONTH(J34)</f>
        <v>202607</v>
      </c>
      <c r="L34" s="1" t="n">
        <f aca="false">IF(OR(ISNUMBER(SEARCH("stock",C34)),ISNUMBER(SEARCH("forecast",C34)),ISNUMBER(SEARCH("earnings",C34)),ISNUMBER(SEARCH("ipo ",C34&amp;" ")),ISNUMBER(SEARCH("ipo,",C34)),ISNUMBER(SEARCH("lockup",C34)),ISNUMBER(SEARCH("price",C34)),ISNUMBER(SEARCH("mstr",C34)),ISNUMBER(SEARCH("tsm",C34)),ISNUMBER(SEARCH("nvda",C34)),ISNUMBER(SEARCH(" vs ",C34))),1,0)</f>
        <v>1</v>
      </c>
    </row>
    <row r="35" customFormat="false" ht="15" hidden="false" customHeight="true" outlineLevel="0" collapsed="false">
      <c r="A35" s="4" t="s">
        <v>187</v>
      </c>
      <c r="B35" s="4" t="s">
        <v>7</v>
      </c>
      <c r="C35" s="4" t="s">
        <v>188</v>
      </c>
      <c r="D35" s="4" t="s">
        <v>189</v>
      </c>
      <c r="E35" s="4" t="s">
        <v>186</v>
      </c>
      <c r="F35" s="4" t="n">
        <v>8</v>
      </c>
      <c r="G35" s="4" t="s">
        <v>102</v>
      </c>
      <c r="H35" s="4" t="n">
        <v>1</v>
      </c>
      <c r="I35" s="4" t="n">
        <v>0</v>
      </c>
      <c r="J35" s="22" t="n">
        <f aca="false">IF(ISNUMBER(SEARCH("hour",E35)),INT($J$1-VALUE(LEFT(E35,FIND(" ",E35)-1))/24),IF(ISNUMBER(SEARCH("day",E35)),$J$1-VALUE(LEFT(E35,FIND(" ",E35)-1)),DATE(2000+VALUE(RIGHT(E35,2)),MATCH(MID(E35,FIND("-",E35)+1,3),{"Jan","Feb","Mar","Apr","May","Jun","Jul","Aug","Sep","Oct","Nov","Dec"},0),VALUE(LEFT(E35,FIND("-",E35)-1)))))</f>
        <v>46218</v>
      </c>
      <c r="K35" s="1" t="n">
        <f aca="false">YEAR(J35)*100+MONTH(J35)</f>
        <v>202607</v>
      </c>
      <c r="L35" s="1" t="n">
        <f aca="false">IF(OR(ISNUMBER(SEARCH("stock",C35)),ISNUMBER(SEARCH("forecast",C35)),ISNUMBER(SEARCH("earnings",C35)),ISNUMBER(SEARCH("ipo ",C35&amp;" ")),ISNUMBER(SEARCH("ipo,",C35)),ISNUMBER(SEARCH("lockup",C35)),ISNUMBER(SEARCH("price",C35)),ISNUMBER(SEARCH("mstr",C35)),ISNUMBER(SEARCH("tsm",C35)),ISNUMBER(SEARCH("nvda",C35)),ISNUMBER(SEARCH(" vs ",C35))),1,0)</f>
        <v>1</v>
      </c>
    </row>
    <row r="36" customFormat="false" ht="15" hidden="false" customHeight="true" outlineLevel="0" collapsed="false">
      <c r="A36" s="4" t="s">
        <v>190</v>
      </c>
      <c r="B36" s="4" t="s">
        <v>7</v>
      </c>
      <c r="C36" s="4" t="s">
        <v>191</v>
      </c>
      <c r="D36" s="4" t="s">
        <v>122</v>
      </c>
      <c r="E36" s="4" t="s">
        <v>186</v>
      </c>
      <c r="F36" s="4" t="n">
        <v>11</v>
      </c>
      <c r="G36" s="4" t="s">
        <v>102</v>
      </c>
      <c r="H36" s="4" t="n">
        <v>1</v>
      </c>
      <c r="I36" s="4" t="n">
        <v>1</v>
      </c>
      <c r="J36" s="22" t="n">
        <f aca="false">IF(ISNUMBER(SEARCH("hour",E36)),INT($J$1-VALUE(LEFT(E36,FIND(" ",E36)-1))/24),IF(ISNUMBER(SEARCH("day",E36)),$J$1-VALUE(LEFT(E36,FIND(" ",E36)-1)),DATE(2000+VALUE(RIGHT(E36,2)),MATCH(MID(E36,FIND("-",E36)+1,3),{"Jan","Feb","Mar","Apr","May","Jun","Jul","Aug","Sep","Oct","Nov","Dec"},0),VALUE(LEFT(E36,FIND("-",E36)-1)))))</f>
        <v>46218</v>
      </c>
      <c r="K36" s="1" t="n">
        <f aca="false">YEAR(J36)*100+MONTH(J36)</f>
        <v>202607</v>
      </c>
      <c r="L36" s="1" t="n">
        <f aca="false">IF(OR(ISNUMBER(SEARCH("stock",C36)),ISNUMBER(SEARCH("forecast",C36)),ISNUMBER(SEARCH("earnings",C36)),ISNUMBER(SEARCH("ipo ",C36&amp;" ")),ISNUMBER(SEARCH("ipo,",C36)),ISNUMBER(SEARCH("lockup",C36)),ISNUMBER(SEARCH("price",C36)),ISNUMBER(SEARCH("mstr",C36)),ISNUMBER(SEARCH("tsm",C36)),ISNUMBER(SEARCH("nvda",C36)),ISNUMBER(SEARCH(" vs ",C36))),1,0)</f>
        <v>0</v>
      </c>
    </row>
    <row r="37" customFormat="false" ht="15" hidden="false" customHeight="true" outlineLevel="0" collapsed="false">
      <c r="A37" s="4" t="s">
        <v>192</v>
      </c>
      <c r="B37" s="4" t="s">
        <v>7</v>
      </c>
      <c r="C37" s="4" t="s">
        <v>193</v>
      </c>
      <c r="D37" s="4" t="s">
        <v>189</v>
      </c>
      <c r="E37" s="4" t="s">
        <v>194</v>
      </c>
      <c r="F37" s="4" t="n">
        <v>9</v>
      </c>
      <c r="G37" s="4" t="s">
        <v>102</v>
      </c>
      <c r="H37" s="4" t="n">
        <v>1</v>
      </c>
      <c r="I37" s="4" t="n">
        <v>1</v>
      </c>
      <c r="J37" s="22" t="n">
        <f aca="false">IF(ISNUMBER(SEARCH("hour",E37)),INT($J$1-VALUE(LEFT(E37,FIND(" ",E37)-1))/24),IF(ISNUMBER(SEARCH("day",E37)),$J$1-VALUE(LEFT(E37,FIND(" ",E37)-1)),DATE(2000+VALUE(RIGHT(E37,2)),MATCH(MID(E37,FIND("-",E37)+1,3),{"Jan","Feb","Mar","Apr","May","Jun","Jul","Aug","Sep","Oct","Nov","Dec"},0),VALUE(LEFT(E37,FIND("-",E37)-1)))))</f>
        <v>46217</v>
      </c>
      <c r="K37" s="1" t="n">
        <f aca="false">YEAR(J37)*100+MONTH(J37)</f>
        <v>202607</v>
      </c>
      <c r="L37" s="1" t="n">
        <f aca="false">IF(OR(ISNUMBER(SEARCH("stock",C37)),ISNUMBER(SEARCH("forecast",C37)),ISNUMBER(SEARCH("earnings",C37)),ISNUMBER(SEARCH("ipo ",C37&amp;" ")),ISNUMBER(SEARCH("ipo,",C37)),ISNUMBER(SEARCH("lockup",C37)),ISNUMBER(SEARCH("price",C37)),ISNUMBER(SEARCH("mstr",C37)),ISNUMBER(SEARCH("tsm",C37)),ISNUMBER(SEARCH("nvda",C37)),ISNUMBER(SEARCH(" vs ",C37))),1,0)</f>
        <v>0</v>
      </c>
    </row>
    <row r="38" customFormat="false" ht="15" hidden="false" customHeight="true" outlineLevel="0" collapsed="false">
      <c r="A38" s="4" t="s">
        <v>195</v>
      </c>
      <c r="B38" s="4" t="s">
        <v>7</v>
      </c>
      <c r="C38" s="4" t="s">
        <v>196</v>
      </c>
      <c r="D38" s="4" t="s">
        <v>185</v>
      </c>
      <c r="E38" s="4" t="s">
        <v>194</v>
      </c>
      <c r="F38" s="4" t="n">
        <v>10</v>
      </c>
      <c r="G38" s="4" t="s">
        <v>102</v>
      </c>
      <c r="H38" s="4" t="n">
        <v>1</v>
      </c>
      <c r="I38" s="4" t="n">
        <v>0</v>
      </c>
      <c r="J38" s="22" t="n">
        <f aca="false">IF(ISNUMBER(SEARCH("hour",E38)),INT($J$1-VALUE(LEFT(E38,FIND(" ",E38)-1))/24),IF(ISNUMBER(SEARCH("day",E38)),$J$1-VALUE(LEFT(E38,FIND(" ",E38)-1)),DATE(2000+VALUE(RIGHT(E38,2)),MATCH(MID(E38,FIND("-",E38)+1,3),{"Jan","Feb","Mar","Apr","May","Jun","Jul","Aug","Sep","Oct","Nov","Dec"},0),VALUE(LEFT(E38,FIND("-",E38)-1)))))</f>
        <v>46217</v>
      </c>
      <c r="K38" s="1" t="n">
        <f aca="false">YEAR(J38)*100+MONTH(J38)</f>
        <v>202607</v>
      </c>
      <c r="L38" s="1" t="n">
        <f aca="false">IF(OR(ISNUMBER(SEARCH("stock",C38)),ISNUMBER(SEARCH("forecast",C38)),ISNUMBER(SEARCH("earnings",C38)),ISNUMBER(SEARCH("ipo ",C38&amp;" ")),ISNUMBER(SEARCH("ipo,",C38)),ISNUMBER(SEARCH("lockup",C38)),ISNUMBER(SEARCH("price",C38)),ISNUMBER(SEARCH("mstr",C38)),ISNUMBER(SEARCH("tsm",C38)),ISNUMBER(SEARCH("nvda",C38)),ISNUMBER(SEARCH(" vs ",C38))),1,0)</f>
        <v>0</v>
      </c>
    </row>
    <row r="39" customFormat="false" ht="15" hidden="false" customHeight="true" outlineLevel="0" collapsed="false">
      <c r="A39" s="4" t="s">
        <v>197</v>
      </c>
      <c r="B39" s="4" t="s">
        <v>7</v>
      </c>
      <c r="C39" s="4" t="s">
        <v>198</v>
      </c>
      <c r="D39" s="4" t="s">
        <v>95</v>
      </c>
      <c r="E39" s="4" t="s">
        <v>199</v>
      </c>
      <c r="F39" s="4" t="n">
        <v>14</v>
      </c>
      <c r="G39" s="4" t="s">
        <v>139</v>
      </c>
      <c r="H39" s="4" t="n">
        <v>0</v>
      </c>
      <c r="I39" s="4" t="n">
        <v>0</v>
      </c>
      <c r="J39" s="22" t="n">
        <f aca="false">IF(ISNUMBER(SEARCH("hour",E39)),INT($J$1-VALUE(LEFT(E39,FIND(" ",E39)-1))/24),IF(ISNUMBER(SEARCH("day",E39)),$J$1-VALUE(LEFT(E39,FIND(" ",E39)-1)),DATE(2000+VALUE(RIGHT(E39,2)),MATCH(MID(E39,FIND("-",E39)+1,3),{"Jan","Feb","Mar","Apr","May","Jun","Jul","Aug","Sep","Oct","Nov","Dec"},0),VALUE(LEFT(E39,FIND("-",E39)-1)))))</f>
        <v>46216</v>
      </c>
      <c r="K39" s="1" t="n">
        <f aca="false">YEAR(J39)*100+MONTH(J39)</f>
        <v>202607</v>
      </c>
      <c r="L39" s="1" t="n">
        <f aca="false">IF(OR(ISNUMBER(SEARCH("stock",C39)),ISNUMBER(SEARCH("forecast",C39)),ISNUMBER(SEARCH("earnings",C39)),ISNUMBER(SEARCH("ipo ",C39&amp;" ")),ISNUMBER(SEARCH("ipo,",C39)),ISNUMBER(SEARCH("lockup",C39)),ISNUMBER(SEARCH("price",C39)),ISNUMBER(SEARCH("mstr",C39)),ISNUMBER(SEARCH("tsm",C39)),ISNUMBER(SEARCH("nvda",C39)),ISNUMBER(SEARCH(" vs ",C39))),1,0)</f>
        <v>0</v>
      </c>
    </row>
    <row r="40" customFormat="false" ht="15" hidden="false" customHeight="true" outlineLevel="0" collapsed="false">
      <c r="A40" s="4" t="s">
        <v>200</v>
      </c>
      <c r="B40" s="4" t="s">
        <v>7</v>
      </c>
      <c r="C40" s="4" t="s">
        <v>201</v>
      </c>
      <c r="D40" s="4" t="s">
        <v>122</v>
      </c>
      <c r="E40" s="4" t="s">
        <v>199</v>
      </c>
      <c r="F40" s="4" t="n">
        <v>8</v>
      </c>
      <c r="G40" s="4" t="s">
        <v>102</v>
      </c>
      <c r="H40" s="4" t="n">
        <v>1</v>
      </c>
      <c r="I40" s="4" t="n">
        <v>1</v>
      </c>
      <c r="J40" s="22" t="n">
        <f aca="false">IF(ISNUMBER(SEARCH("hour",E40)),INT($J$1-VALUE(LEFT(E40,FIND(" ",E40)-1))/24),IF(ISNUMBER(SEARCH("day",E40)),$J$1-VALUE(LEFT(E40,FIND(" ",E40)-1)),DATE(2000+VALUE(RIGHT(E40,2)),MATCH(MID(E40,FIND("-",E40)+1,3),{"Jan","Feb","Mar","Apr","May","Jun","Jul","Aug","Sep","Oct","Nov","Dec"},0),VALUE(LEFT(E40,FIND("-",E40)-1)))))</f>
        <v>46216</v>
      </c>
      <c r="K40" s="1" t="n">
        <f aca="false">YEAR(J40)*100+MONTH(J40)</f>
        <v>202607</v>
      </c>
      <c r="L40" s="1" t="n">
        <f aca="false">IF(OR(ISNUMBER(SEARCH("stock",C40)),ISNUMBER(SEARCH("forecast",C40)),ISNUMBER(SEARCH("earnings",C40)),ISNUMBER(SEARCH("ipo ",C40&amp;" ")),ISNUMBER(SEARCH("ipo,",C40)),ISNUMBER(SEARCH("lockup",C40)),ISNUMBER(SEARCH("price",C40)),ISNUMBER(SEARCH("mstr",C40)),ISNUMBER(SEARCH("tsm",C40)),ISNUMBER(SEARCH("nvda",C40)),ISNUMBER(SEARCH(" vs ",C40))),1,0)</f>
        <v>1</v>
      </c>
    </row>
    <row r="41" customFormat="false" ht="15" hidden="false" customHeight="true" outlineLevel="0" collapsed="false">
      <c r="A41" s="4" t="s">
        <v>202</v>
      </c>
      <c r="B41" s="4" t="s">
        <v>7</v>
      </c>
      <c r="C41" s="4" t="s">
        <v>203</v>
      </c>
      <c r="D41" s="4" t="s">
        <v>100</v>
      </c>
      <c r="E41" s="4" t="s">
        <v>199</v>
      </c>
      <c r="F41" s="4" t="n">
        <v>9</v>
      </c>
      <c r="G41" s="4" t="s">
        <v>109</v>
      </c>
      <c r="H41" s="4" t="n">
        <v>1</v>
      </c>
      <c r="I41" s="4" t="n">
        <v>1</v>
      </c>
      <c r="J41" s="22" t="n">
        <f aca="false">IF(ISNUMBER(SEARCH("hour",E41)),INT($J$1-VALUE(LEFT(E41,FIND(" ",E41)-1))/24),IF(ISNUMBER(SEARCH("day",E41)),$J$1-VALUE(LEFT(E41,FIND(" ",E41)-1)),DATE(2000+VALUE(RIGHT(E41,2)),MATCH(MID(E41,FIND("-",E41)+1,3),{"Jan","Feb","Mar","Apr","May","Jun","Jul","Aug","Sep","Oct","Nov","Dec"},0),VALUE(LEFT(E41,FIND("-",E41)-1)))))</f>
        <v>46216</v>
      </c>
      <c r="K41" s="1" t="n">
        <f aca="false">YEAR(J41)*100+MONTH(J41)</f>
        <v>202607</v>
      </c>
      <c r="L41" s="1" t="n">
        <f aca="false">IF(OR(ISNUMBER(SEARCH("stock",C41)),ISNUMBER(SEARCH("forecast",C41)),ISNUMBER(SEARCH("earnings",C41)),ISNUMBER(SEARCH("ipo ",C41&amp;" ")),ISNUMBER(SEARCH("ipo,",C41)),ISNUMBER(SEARCH("lockup",C41)),ISNUMBER(SEARCH("price",C41)),ISNUMBER(SEARCH("mstr",C41)),ISNUMBER(SEARCH("tsm",C41)),ISNUMBER(SEARCH("nvda",C41)),ISNUMBER(SEARCH(" vs ",C41))),1,0)</f>
        <v>1</v>
      </c>
    </row>
    <row r="42" customFormat="false" ht="15" hidden="false" customHeight="true" outlineLevel="0" collapsed="false">
      <c r="A42" s="4" t="s">
        <v>204</v>
      </c>
      <c r="B42" s="4" t="s">
        <v>7</v>
      </c>
      <c r="C42" s="4" t="s">
        <v>205</v>
      </c>
      <c r="D42" s="4" t="s">
        <v>116</v>
      </c>
      <c r="E42" s="4" t="s">
        <v>206</v>
      </c>
      <c r="F42" s="4" t="n">
        <v>12</v>
      </c>
      <c r="G42" s="4" t="s">
        <v>109</v>
      </c>
      <c r="H42" s="4" t="n">
        <v>1</v>
      </c>
      <c r="I42" s="4" t="n">
        <v>1</v>
      </c>
      <c r="J42" s="22" t="n">
        <f aca="false">IF(ISNUMBER(SEARCH("hour",E42)),INT($J$1-VALUE(LEFT(E42,FIND(" ",E42)-1))/24),IF(ISNUMBER(SEARCH("day",E42)),$J$1-VALUE(LEFT(E42,FIND(" ",E42)-1)),DATE(2000+VALUE(RIGHT(E42,2)),MATCH(MID(E42,FIND("-",E42)+1,3),{"Jan","Feb","Mar","Apr","May","Jun","Jul","Aug","Sep","Oct","Nov","Dec"},0),VALUE(LEFT(E42,FIND("-",E42)-1)))))</f>
        <v>46212</v>
      </c>
      <c r="K42" s="1" t="n">
        <f aca="false">YEAR(J42)*100+MONTH(J42)</f>
        <v>202607</v>
      </c>
      <c r="L42" s="1" t="n">
        <f aca="false">IF(OR(ISNUMBER(SEARCH("stock",C42)),ISNUMBER(SEARCH("forecast",C42)),ISNUMBER(SEARCH("earnings",C42)),ISNUMBER(SEARCH("ipo ",C42&amp;" ")),ISNUMBER(SEARCH("ipo,",C42)),ISNUMBER(SEARCH("lockup",C42)),ISNUMBER(SEARCH("price",C42)),ISNUMBER(SEARCH("mstr",C42)),ISNUMBER(SEARCH("tsm",C42)),ISNUMBER(SEARCH("nvda",C42)),ISNUMBER(SEARCH(" vs ",C42))),1,0)</f>
        <v>1</v>
      </c>
    </row>
    <row r="43" customFormat="false" ht="15" hidden="false" customHeight="true" outlineLevel="0" collapsed="false">
      <c r="A43" s="4" t="s">
        <v>207</v>
      </c>
      <c r="B43" s="4" t="s">
        <v>7</v>
      </c>
      <c r="C43" s="4" t="s">
        <v>208</v>
      </c>
      <c r="D43" s="4" t="s">
        <v>122</v>
      </c>
      <c r="E43" s="4" t="s">
        <v>206</v>
      </c>
      <c r="F43" s="4" t="n">
        <v>16</v>
      </c>
      <c r="G43" s="4" t="s">
        <v>102</v>
      </c>
      <c r="H43" s="4" t="n">
        <v>1</v>
      </c>
      <c r="I43" s="4" t="n">
        <v>1</v>
      </c>
      <c r="J43" s="22" t="n">
        <f aca="false">IF(ISNUMBER(SEARCH("hour",E43)),INT($J$1-VALUE(LEFT(E43,FIND(" ",E43)-1))/24),IF(ISNUMBER(SEARCH("day",E43)),$J$1-VALUE(LEFT(E43,FIND(" ",E43)-1)),DATE(2000+VALUE(RIGHT(E43,2)),MATCH(MID(E43,FIND("-",E43)+1,3),{"Jan","Feb","Mar","Apr","May","Jun","Jul","Aug","Sep","Oct","Nov","Dec"},0),VALUE(LEFT(E43,FIND("-",E43)-1)))))</f>
        <v>46212</v>
      </c>
      <c r="K43" s="1" t="n">
        <f aca="false">YEAR(J43)*100+MONTH(J43)</f>
        <v>202607</v>
      </c>
      <c r="L43" s="1" t="n">
        <f aca="false">IF(OR(ISNUMBER(SEARCH("stock",C43)),ISNUMBER(SEARCH("forecast",C43)),ISNUMBER(SEARCH("earnings",C43)),ISNUMBER(SEARCH("ipo ",C43&amp;" ")),ISNUMBER(SEARCH("ipo,",C43)),ISNUMBER(SEARCH("lockup",C43)),ISNUMBER(SEARCH("price",C43)),ISNUMBER(SEARCH("mstr",C43)),ISNUMBER(SEARCH("tsm",C43)),ISNUMBER(SEARCH("nvda",C43)),ISNUMBER(SEARCH(" vs ",C43))),1,0)</f>
        <v>1</v>
      </c>
    </row>
    <row r="44" customFormat="false" ht="15" hidden="false" customHeight="true" outlineLevel="0" collapsed="false">
      <c r="A44" s="4" t="s">
        <v>209</v>
      </c>
      <c r="B44" s="4" t="s">
        <v>8</v>
      </c>
      <c r="C44" s="4" t="s">
        <v>210</v>
      </c>
      <c r="D44" s="4" t="s">
        <v>211</v>
      </c>
      <c r="E44" s="4" t="s">
        <v>212</v>
      </c>
      <c r="F44" s="4" t="n">
        <v>16</v>
      </c>
      <c r="G44" s="4" t="s">
        <v>109</v>
      </c>
      <c r="H44" s="4" t="n">
        <v>1</v>
      </c>
      <c r="I44" s="4" t="n">
        <v>0</v>
      </c>
      <c r="J44" s="22" t="n">
        <f aca="false">IF(ISNUMBER(SEARCH("hour",E44)),INT($J$1-VALUE(LEFT(E44,FIND(" ",E44)-1))/24),IF(ISNUMBER(SEARCH("day",E44)),$J$1-VALUE(LEFT(E44,FIND(" ",E44)-1)),DATE(2000+VALUE(RIGHT(E44,2)),MATCH(MID(E44,FIND("-",E44)+1,3),{"Jan","Feb","Mar","Apr","May","Jun","Jul","Aug","Sep","Oct","Nov","Dec"},0),VALUE(LEFT(E44,FIND("-",E44)-1)))))</f>
        <v>46297</v>
      </c>
      <c r="K44" s="1" t="n">
        <f aca="false">YEAR(J44)*100+MONTH(J44)</f>
        <v>202610</v>
      </c>
      <c r="L44" s="1" t="n">
        <f aca="false">IF(OR(ISNUMBER(SEARCH("stock",C44)),ISNUMBER(SEARCH("forecast",C44)),ISNUMBER(SEARCH("earnings",C44)),ISNUMBER(SEARCH("ipo ",C44&amp;" ")),ISNUMBER(SEARCH("ipo,",C44)),ISNUMBER(SEARCH("lockup",C44)),ISNUMBER(SEARCH("price",C44)),ISNUMBER(SEARCH("mstr",C44)),ISNUMBER(SEARCH("tsm",C44)),ISNUMBER(SEARCH("nvda",C44)),ISNUMBER(SEARCH(" vs ",C44))),1,0)</f>
        <v>1</v>
      </c>
    </row>
    <row r="45" customFormat="false" ht="15" hidden="false" customHeight="true" outlineLevel="0" collapsed="false">
      <c r="A45" s="4" t="s">
        <v>213</v>
      </c>
      <c r="B45" s="4" t="s">
        <v>8</v>
      </c>
      <c r="C45" s="4" t="s">
        <v>214</v>
      </c>
      <c r="D45" s="4" t="s">
        <v>185</v>
      </c>
      <c r="E45" s="4" t="s">
        <v>157</v>
      </c>
      <c r="F45" s="4" t="n">
        <v>10</v>
      </c>
      <c r="G45" s="4" t="s">
        <v>139</v>
      </c>
      <c r="H45" s="4" t="n">
        <v>0</v>
      </c>
      <c r="I45" s="4" t="n">
        <v>0</v>
      </c>
      <c r="J45" s="22" t="n">
        <f aca="false">IF(ISNUMBER(SEARCH("hour",E45)),INT($J$1-VALUE(LEFT(E45,FIND(" ",E45)-1))/24),IF(ISNUMBER(SEARCH("day",E45)),$J$1-VALUE(LEFT(E45,FIND(" ",E45)-1)),DATE(2000+VALUE(RIGHT(E45,2)),MATCH(MID(E45,FIND("-",E45)+1,3),{"Jan","Feb","Mar","Apr","May","Jun","Jul","Aug","Sep","Oct","Nov","Dec"},0),VALUE(LEFT(E45,FIND("-",E45)-1)))))</f>
        <v>46297</v>
      </c>
      <c r="K45" s="1" t="n">
        <f aca="false">YEAR(J45)*100+MONTH(J45)</f>
        <v>202610</v>
      </c>
      <c r="L45" s="1" t="n">
        <f aca="false">IF(OR(ISNUMBER(SEARCH("stock",C45)),ISNUMBER(SEARCH("forecast",C45)),ISNUMBER(SEARCH("earnings",C45)),ISNUMBER(SEARCH("ipo ",C45&amp;" ")),ISNUMBER(SEARCH("ipo,",C45)),ISNUMBER(SEARCH("lockup",C45)),ISNUMBER(SEARCH("price",C45)),ISNUMBER(SEARCH("mstr",C45)),ISNUMBER(SEARCH("tsm",C45)),ISNUMBER(SEARCH("nvda",C45)),ISNUMBER(SEARCH(" vs ",C45))),1,0)</f>
        <v>0</v>
      </c>
    </row>
    <row r="46" customFormat="false" ht="15" hidden="false" customHeight="true" outlineLevel="0" collapsed="false">
      <c r="A46" s="4" t="s">
        <v>215</v>
      </c>
      <c r="B46" s="4" t="s">
        <v>8</v>
      </c>
      <c r="C46" s="4" t="s">
        <v>216</v>
      </c>
      <c r="D46" s="4" t="s">
        <v>185</v>
      </c>
      <c r="E46" s="4" t="s">
        <v>105</v>
      </c>
      <c r="F46" s="4" t="n">
        <v>10</v>
      </c>
      <c r="G46" s="4" t="s">
        <v>102</v>
      </c>
      <c r="H46" s="4" t="n">
        <v>0</v>
      </c>
      <c r="I46" s="4" t="n">
        <v>1</v>
      </c>
      <c r="J46" s="22" t="n">
        <f aca="false">IF(ISNUMBER(SEARCH("hour",E46)),INT($J$1-VALUE(LEFT(E46,FIND(" ",E46)-1))/24),IF(ISNUMBER(SEARCH("day",E46)),$J$1-VALUE(LEFT(E46,FIND(" ",E46)-1)),DATE(2000+VALUE(RIGHT(E46,2)),MATCH(MID(E46,FIND("-",E46)+1,3),{"Jan","Feb","Mar","Apr","May","Jun","Jul","Aug","Sep","Oct","Nov","Dec"},0),VALUE(LEFT(E46,FIND("-",E46)-1)))))</f>
        <v>46295</v>
      </c>
      <c r="K46" s="1" t="n">
        <f aca="false">YEAR(J46)*100+MONTH(J46)</f>
        <v>202609</v>
      </c>
      <c r="L46" s="1" t="n">
        <f aca="false">IF(OR(ISNUMBER(SEARCH("stock",C46)),ISNUMBER(SEARCH("forecast",C46)),ISNUMBER(SEARCH("earnings",C46)),ISNUMBER(SEARCH("ipo ",C46&amp;" ")),ISNUMBER(SEARCH("ipo,",C46)),ISNUMBER(SEARCH("lockup",C46)),ISNUMBER(SEARCH("price",C46)),ISNUMBER(SEARCH("mstr",C46)),ISNUMBER(SEARCH("tsm",C46)),ISNUMBER(SEARCH("nvda",C46)),ISNUMBER(SEARCH(" vs ",C46))),1,0)</f>
        <v>0</v>
      </c>
    </row>
    <row r="47" customFormat="false" ht="15" hidden="false" customHeight="true" outlineLevel="0" collapsed="false">
      <c r="A47" s="4" t="s">
        <v>217</v>
      </c>
      <c r="B47" s="4" t="s">
        <v>8</v>
      </c>
      <c r="C47" s="4" t="s">
        <v>218</v>
      </c>
      <c r="D47" s="4" t="s">
        <v>185</v>
      </c>
      <c r="E47" s="4" t="s">
        <v>105</v>
      </c>
      <c r="F47" s="4" t="n">
        <v>7</v>
      </c>
      <c r="G47" s="4" t="s">
        <v>102</v>
      </c>
      <c r="H47" s="4" t="n">
        <v>0</v>
      </c>
      <c r="I47" s="4" t="n">
        <v>0</v>
      </c>
      <c r="J47" s="22" t="n">
        <f aca="false">IF(ISNUMBER(SEARCH("hour",E47)),INT($J$1-VALUE(LEFT(E47,FIND(" ",E47)-1))/24),IF(ISNUMBER(SEARCH("day",E47)),$J$1-VALUE(LEFT(E47,FIND(" ",E47)-1)),DATE(2000+VALUE(RIGHT(E47,2)),MATCH(MID(E47,FIND("-",E47)+1,3),{"Jan","Feb","Mar","Apr","May","Jun","Jul","Aug","Sep","Oct","Nov","Dec"},0),VALUE(LEFT(E47,FIND("-",E47)-1)))))</f>
        <v>46295</v>
      </c>
      <c r="K47" s="1" t="n">
        <f aca="false">YEAR(J47)*100+MONTH(J47)</f>
        <v>202609</v>
      </c>
      <c r="L47" s="1" t="n">
        <f aca="false">IF(OR(ISNUMBER(SEARCH("stock",C47)),ISNUMBER(SEARCH("forecast",C47)),ISNUMBER(SEARCH("earnings",C47)),ISNUMBER(SEARCH("ipo ",C47&amp;" ")),ISNUMBER(SEARCH("ipo,",C47)),ISNUMBER(SEARCH("lockup",C47)),ISNUMBER(SEARCH("price",C47)),ISNUMBER(SEARCH("mstr",C47)),ISNUMBER(SEARCH("tsm",C47)),ISNUMBER(SEARCH("nvda",C47)),ISNUMBER(SEARCH(" vs ",C47))),1,0)</f>
        <v>0</v>
      </c>
    </row>
    <row r="48" customFormat="false" ht="15" hidden="false" customHeight="true" outlineLevel="0" collapsed="false">
      <c r="A48" s="4" t="s">
        <v>165</v>
      </c>
      <c r="B48" s="4" t="s">
        <v>8</v>
      </c>
      <c r="C48" s="4" t="s">
        <v>166</v>
      </c>
      <c r="D48" s="4" t="s">
        <v>148</v>
      </c>
      <c r="E48" s="4" t="s">
        <v>160</v>
      </c>
      <c r="F48" s="4" t="n">
        <v>11</v>
      </c>
      <c r="G48" s="4" t="s">
        <v>102</v>
      </c>
      <c r="H48" s="4" t="n">
        <v>0</v>
      </c>
      <c r="I48" s="4" t="n">
        <v>1</v>
      </c>
      <c r="J48" s="22" t="n">
        <f aca="false">IF(ISNUMBER(SEARCH("hour",E48)),INT($J$1-VALUE(LEFT(E48,FIND(" ",E48)-1))/24),IF(ISNUMBER(SEARCH("day",E48)),$J$1-VALUE(LEFT(E48,FIND(" ",E48)-1)),DATE(2000+VALUE(RIGHT(E48,2)),MATCH(MID(E48,FIND("-",E48)+1,3),{"Jan","Feb","Mar","Apr","May","Jun","Jul","Aug","Sep","Oct","Nov","Dec"},0),VALUE(LEFT(E48,FIND("-",E48)-1)))))</f>
        <v>46253</v>
      </c>
      <c r="K48" s="1" t="n">
        <f aca="false">YEAR(J48)*100+MONTH(J48)</f>
        <v>202608</v>
      </c>
      <c r="L48" s="1" t="n">
        <f aca="false">IF(OR(ISNUMBER(SEARCH("stock",C48)),ISNUMBER(SEARCH("forecast",C48)),ISNUMBER(SEARCH("earnings",C48)),ISNUMBER(SEARCH("ipo ",C48&amp;" ")),ISNUMBER(SEARCH("ipo,",C48)),ISNUMBER(SEARCH("lockup",C48)),ISNUMBER(SEARCH("price",C48)),ISNUMBER(SEARCH("mstr",C48)),ISNUMBER(SEARCH("tsm",C48)),ISNUMBER(SEARCH("nvda",C48)),ISNUMBER(SEARCH(" vs ",C48))),1,0)</f>
        <v>1</v>
      </c>
    </row>
    <row r="49" customFormat="false" ht="15" hidden="false" customHeight="true" outlineLevel="0" collapsed="false">
      <c r="A49" s="4" t="s">
        <v>219</v>
      </c>
      <c r="B49" s="4" t="s">
        <v>8</v>
      </c>
      <c r="C49" s="4" t="s">
        <v>220</v>
      </c>
      <c r="D49" s="4" t="s">
        <v>100</v>
      </c>
      <c r="E49" s="4" t="s">
        <v>221</v>
      </c>
      <c r="F49" s="4" t="n">
        <v>9</v>
      </c>
      <c r="G49" s="4" t="s">
        <v>109</v>
      </c>
      <c r="H49" s="4" t="n">
        <v>0</v>
      </c>
      <c r="I49" s="4" t="n">
        <v>0</v>
      </c>
      <c r="J49" s="22" t="n">
        <f aca="false">IF(ISNUMBER(SEARCH("hour",E49)),INT($J$1-VALUE(LEFT(E49,FIND(" ",E49)-1))/24),IF(ISNUMBER(SEARCH("day",E49)),$J$1-VALUE(LEFT(E49,FIND(" ",E49)-1)),DATE(2000+VALUE(RIGHT(E49,2)),MATCH(MID(E49,FIND("-",E49)+1,3),{"Jan","Feb","Mar","Apr","May","Jun","Jul","Aug","Sep","Oct","Nov","Dec"},0),VALUE(LEFT(E49,FIND("-",E49)-1)))))</f>
        <v>46243</v>
      </c>
      <c r="K49" s="1" t="n">
        <f aca="false">YEAR(J49)*100+MONTH(J49)</f>
        <v>202608</v>
      </c>
      <c r="L49" s="1" t="n">
        <f aca="false">IF(OR(ISNUMBER(SEARCH("stock",C49)),ISNUMBER(SEARCH("forecast",C49)),ISNUMBER(SEARCH("earnings",C49)),ISNUMBER(SEARCH("ipo ",C49&amp;" ")),ISNUMBER(SEARCH("ipo,",C49)),ISNUMBER(SEARCH("lockup",C49)),ISNUMBER(SEARCH("price",C49)),ISNUMBER(SEARCH("mstr",C49)),ISNUMBER(SEARCH("tsm",C49)),ISNUMBER(SEARCH("nvda",C49)),ISNUMBER(SEARCH(" vs ",C49))),1,0)</f>
        <v>0</v>
      </c>
    </row>
    <row r="50" customFormat="false" ht="15" hidden="false" customHeight="true" outlineLevel="0" collapsed="false">
      <c r="A50" s="4" t="s">
        <v>222</v>
      </c>
      <c r="B50" s="4" t="s">
        <v>8</v>
      </c>
      <c r="C50" s="4" t="s">
        <v>223</v>
      </c>
      <c r="D50" s="4" t="s">
        <v>108</v>
      </c>
      <c r="E50" s="4" t="s">
        <v>172</v>
      </c>
      <c r="F50" s="4" t="n">
        <v>12</v>
      </c>
      <c r="G50" s="4" t="s">
        <v>102</v>
      </c>
      <c r="H50" s="4" t="n">
        <v>0</v>
      </c>
      <c r="I50" s="4" t="n">
        <v>0</v>
      </c>
      <c r="J50" s="22" t="n">
        <f aca="false">IF(ISNUMBER(SEARCH("hour",E50)),INT($J$1-VALUE(LEFT(E50,FIND(" ",E50)-1))/24),IF(ISNUMBER(SEARCH("day",E50)),$J$1-VALUE(LEFT(E50,FIND(" ",E50)-1)),DATE(2000+VALUE(RIGHT(E50,2)),MATCH(MID(E50,FIND("-",E50)+1,3),{"Jan","Feb","Mar","Apr","May","Jun","Jul","Aug","Sep","Oct","Nov","Dec"},0),VALUE(LEFT(E50,FIND("-",E50)-1)))))</f>
        <v>46227</v>
      </c>
      <c r="K50" s="1" t="n">
        <f aca="false">YEAR(J50)*100+MONTH(J50)</f>
        <v>202607</v>
      </c>
      <c r="L50" s="1" t="n">
        <f aca="false">IF(OR(ISNUMBER(SEARCH("stock",C50)),ISNUMBER(SEARCH("forecast",C50)),ISNUMBER(SEARCH("earnings",C50)),ISNUMBER(SEARCH("ipo ",C50&amp;" ")),ISNUMBER(SEARCH("ipo,",C50)),ISNUMBER(SEARCH("lockup",C50)),ISNUMBER(SEARCH("price",C50)),ISNUMBER(SEARCH("mstr",C50)),ISNUMBER(SEARCH("tsm",C50)),ISNUMBER(SEARCH("nvda",C50)),ISNUMBER(SEARCH(" vs ",C50))),1,0)</f>
        <v>0</v>
      </c>
    </row>
    <row r="51" customFormat="false" ht="15" hidden="false" customHeight="true" outlineLevel="0" collapsed="false">
      <c r="A51" s="4" t="s">
        <v>224</v>
      </c>
      <c r="B51" s="4" t="s">
        <v>8</v>
      </c>
      <c r="C51" s="4" t="s">
        <v>225</v>
      </c>
      <c r="D51" s="4" t="s">
        <v>108</v>
      </c>
      <c r="E51" s="4" t="s">
        <v>175</v>
      </c>
      <c r="F51" s="4" t="n">
        <v>11</v>
      </c>
      <c r="G51" s="4" t="s">
        <v>109</v>
      </c>
      <c r="H51" s="4" t="n">
        <v>1</v>
      </c>
      <c r="I51" s="4" t="n">
        <v>0</v>
      </c>
      <c r="J51" s="22" t="n">
        <f aca="false">IF(ISNUMBER(SEARCH("hour",E51)),INT($J$1-VALUE(LEFT(E51,FIND(" ",E51)-1))/24),IF(ISNUMBER(SEARCH("day",E51)),$J$1-VALUE(LEFT(E51,FIND(" ",E51)-1)),DATE(2000+VALUE(RIGHT(E51,2)),MATCH(MID(E51,FIND("-",E51)+1,3),{"Jan","Feb","Mar","Apr","May","Jun","Jul","Aug","Sep","Oct","Nov","Dec"},0),VALUE(LEFT(E51,FIND("-",E51)-1)))))</f>
        <v>46226</v>
      </c>
      <c r="K51" s="1" t="n">
        <f aca="false">YEAR(J51)*100+MONTH(J51)</f>
        <v>202607</v>
      </c>
      <c r="L51" s="1" t="n">
        <f aca="false">IF(OR(ISNUMBER(SEARCH("stock",C51)),ISNUMBER(SEARCH("forecast",C51)),ISNUMBER(SEARCH("earnings",C51)),ISNUMBER(SEARCH("ipo ",C51&amp;" ")),ISNUMBER(SEARCH("ipo,",C51)),ISNUMBER(SEARCH("lockup",C51)),ISNUMBER(SEARCH("price",C51)),ISNUMBER(SEARCH("mstr",C51)),ISNUMBER(SEARCH("tsm",C51)),ISNUMBER(SEARCH("nvda",C51)),ISNUMBER(SEARCH(" vs ",C51))),1,0)</f>
        <v>0</v>
      </c>
    </row>
    <row r="52" customFormat="false" ht="15" hidden="false" customHeight="true" outlineLevel="0" collapsed="false">
      <c r="A52" s="4" t="s">
        <v>226</v>
      </c>
      <c r="B52" s="4" t="s">
        <v>8</v>
      </c>
      <c r="C52" s="4" t="s">
        <v>227</v>
      </c>
      <c r="D52" s="4" t="s">
        <v>108</v>
      </c>
      <c r="E52" s="4" t="s">
        <v>175</v>
      </c>
      <c r="F52" s="4" t="n">
        <v>10</v>
      </c>
      <c r="G52" s="4" t="s">
        <v>102</v>
      </c>
      <c r="H52" s="4" t="n">
        <v>1</v>
      </c>
      <c r="I52" s="4" t="n">
        <v>0</v>
      </c>
      <c r="J52" s="22" t="n">
        <f aca="false">IF(ISNUMBER(SEARCH("hour",E52)),INT($J$1-VALUE(LEFT(E52,FIND(" ",E52)-1))/24),IF(ISNUMBER(SEARCH("day",E52)),$J$1-VALUE(LEFT(E52,FIND(" ",E52)-1)),DATE(2000+VALUE(RIGHT(E52,2)),MATCH(MID(E52,FIND("-",E52)+1,3),{"Jan","Feb","Mar","Apr","May","Jun","Jul","Aug","Sep","Oct","Nov","Dec"},0),VALUE(LEFT(E52,FIND("-",E52)-1)))))</f>
        <v>46226</v>
      </c>
      <c r="K52" s="1" t="n">
        <f aca="false">YEAR(J52)*100+MONTH(J52)</f>
        <v>202607</v>
      </c>
      <c r="L52" s="1" t="n">
        <f aca="false">IF(OR(ISNUMBER(SEARCH("stock",C52)),ISNUMBER(SEARCH("forecast",C52)),ISNUMBER(SEARCH("earnings",C52)),ISNUMBER(SEARCH("ipo ",C52&amp;" ")),ISNUMBER(SEARCH("ipo,",C52)),ISNUMBER(SEARCH("lockup",C52)),ISNUMBER(SEARCH("price",C52)),ISNUMBER(SEARCH("mstr",C52)),ISNUMBER(SEARCH("tsm",C52)),ISNUMBER(SEARCH("nvda",C52)),ISNUMBER(SEARCH(" vs ",C52))),1,0)</f>
        <v>0</v>
      </c>
    </row>
    <row r="53" customFormat="false" ht="15" hidden="false" customHeight="true" outlineLevel="0" collapsed="false">
      <c r="A53" s="4" t="s">
        <v>202</v>
      </c>
      <c r="B53" s="4" t="s">
        <v>8</v>
      </c>
      <c r="C53" s="4" t="s">
        <v>203</v>
      </c>
      <c r="D53" s="4" t="s">
        <v>100</v>
      </c>
      <c r="E53" s="4" t="s">
        <v>199</v>
      </c>
      <c r="F53" s="4" t="n">
        <v>9</v>
      </c>
      <c r="G53" s="4" t="s">
        <v>109</v>
      </c>
      <c r="H53" s="4" t="n">
        <v>1</v>
      </c>
      <c r="I53" s="4" t="n">
        <v>1</v>
      </c>
      <c r="J53" s="22" t="n">
        <f aca="false">IF(ISNUMBER(SEARCH("hour",E53)),INT($J$1-VALUE(LEFT(E53,FIND(" ",E53)-1))/24),IF(ISNUMBER(SEARCH("day",E53)),$J$1-VALUE(LEFT(E53,FIND(" ",E53)-1)),DATE(2000+VALUE(RIGHT(E53,2)),MATCH(MID(E53,FIND("-",E53)+1,3),{"Jan","Feb","Mar","Apr","May","Jun","Jul","Aug","Sep","Oct","Nov","Dec"},0),VALUE(LEFT(E53,FIND("-",E53)-1)))))</f>
        <v>46216</v>
      </c>
      <c r="K53" s="1" t="n">
        <f aca="false">YEAR(J53)*100+MONTH(J53)</f>
        <v>202607</v>
      </c>
      <c r="L53" s="1" t="n">
        <f aca="false">IF(OR(ISNUMBER(SEARCH("stock",C53)),ISNUMBER(SEARCH("forecast",C53)),ISNUMBER(SEARCH("earnings",C53)),ISNUMBER(SEARCH("ipo ",C53&amp;" ")),ISNUMBER(SEARCH("ipo,",C53)),ISNUMBER(SEARCH("lockup",C53)),ISNUMBER(SEARCH("price",C53)),ISNUMBER(SEARCH("mstr",C53)),ISNUMBER(SEARCH("tsm",C53)),ISNUMBER(SEARCH("nvda",C53)),ISNUMBER(SEARCH(" vs ",C53))),1,0)</f>
        <v>1</v>
      </c>
    </row>
    <row r="54" customFormat="false" ht="15" hidden="false" customHeight="true" outlineLevel="0" collapsed="false">
      <c r="A54" s="4" t="s">
        <v>228</v>
      </c>
      <c r="B54" s="4" t="s">
        <v>8</v>
      </c>
      <c r="C54" s="4" t="s">
        <v>229</v>
      </c>
      <c r="D54" s="4" t="s">
        <v>230</v>
      </c>
      <c r="E54" s="4" t="s">
        <v>231</v>
      </c>
      <c r="F54" s="4" t="n">
        <v>8</v>
      </c>
      <c r="G54" s="4" t="s">
        <v>139</v>
      </c>
      <c r="H54" s="4" t="n">
        <v>0</v>
      </c>
      <c r="I54" s="4" t="n">
        <v>1</v>
      </c>
      <c r="J54" s="22" t="n">
        <f aca="false">IF(ISNUMBER(SEARCH("hour",E54)),INT($J$1-VALUE(LEFT(E54,FIND(" ",E54)-1))/24),IF(ISNUMBER(SEARCH("day",E54)),$J$1-VALUE(LEFT(E54,FIND(" ",E54)-1)),DATE(2000+VALUE(RIGHT(E54,2)),MATCH(MID(E54,FIND("-",E54)+1,3),{"Jan","Feb","Mar","Apr","May","Jun","Jul","Aug","Sep","Oct","Nov","Dec"},0),VALUE(LEFT(E54,FIND("-",E54)-1)))))</f>
        <v>46215</v>
      </c>
      <c r="K54" s="1" t="n">
        <f aca="false">YEAR(J54)*100+MONTH(J54)</f>
        <v>202607</v>
      </c>
      <c r="L54" s="1" t="n">
        <f aca="false">IF(OR(ISNUMBER(SEARCH("stock",C54)),ISNUMBER(SEARCH("forecast",C54)),ISNUMBER(SEARCH("earnings",C54)),ISNUMBER(SEARCH("ipo ",C54&amp;" ")),ISNUMBER(SEARCH("ipo,",C54)),ISNUMBER(SEARCH("lockup",C54)),ISNUMBER(SEARCH("price",C54)),ISNUMBER(SEARCH("mstr",C54)),ISNUMBER(SEARCH("tsm",C54)),ISNUMBER(SEARCH("nvda",C54)),ISNUMBER(SEARCH(" vs ",C54))),1,0)</f>
        <v>0</v>
      </c>
    </row>
    <row r="55" customFormat="false" ht="15" hidden="false" customHeight="true" outlineLevel="0" collapsed="false">
      <c r="A55" s="4" t="s">
        <v>232</v>
      </c>
      <c r="B55" s="4" t="s">
        <v>8</v>
      </c>
      <c r="C55" s="4" t="s">
        <v>233</v>
      </c>
      <c r="D55" s="4" t="s">
        <v>148</v>
      </c>
      <c r="E55" s="4" t="s">
        <v>234</v>
      </c>
      <c r="F55" s="4" t="n">
        <v>10</v>
      </c>
      <c r="G55" s="4" t="s">
        <v>235</v>
      </c>
      <c r="H55" s="4" t="n">
        <v>0</v>
      </c>
      <c r="I55" s="4" t="n">
        <v>1</v>
      </c>
      <c r="J55" s="22" t="n">
        <f aca="false">IF(ISNUMBER(SEARCH("hour",E55)),INT($J$1-VALUE(LEFT(E55,FIND(" ",E55)-1))/24),IF(ISNUMBER(SEARCH("day",E55)),$J$1-VALUE(LEFT(E55,FIND(" ",E55)-1)),DATE(2000+VALUE(RIGHT(E55,2)),MATCH(MID(E55,FIND("-",E55)+1,3),{"Jan","Feb","Mar","Apr","May","Jun","Jul","Aug","Sep","Oct","Nov","Dec"},0),VALUE(LEFT(E55,FIND("-",E55)-1)))))</f>
        <v>46205</v>
      </c>
      <c r="K55" s="1" t="n">
        <f aca="false">YEAR(J55)*100+MONTH(J55)</f>
        <v>202607</v>
      </c>
      <c r="L55" s="1" t="n">
        <f aca="false">IF(OR(ISNUMBER(SEARCH("stock",C55)),ISNUMBER(SEARCH("forecast",C55)),ISNUMBER(SEARCH("earnings",C55)),ISNUMBER(SEARCH("ipo ",C55&amp;" ")),ISNUMBER(SEARCH("ipo,",C55)),ISNUMBER(SEARCH("lockup",C55)),ISNUMBER(SEARCH("price",C55)),ISNUMBER(SEARCH("mstr",C55)),ISNUMBER(SEARCH("tsm",C55)),ISNUMBER(SEARCH("nvda",C55)),ISNUMBER(SEARCH(" vs ",C55))),1,0)</f>
        <v>0</v>
      </c>
    </row>
    <row r="56" customFormat="false" ht="15" hidden="false" customHeight="true" outlineLevel="0" collapsed="false">
      <c r="A56" s="4" t="s">
        <v>236</v>
      </c>
      <c r="B56" s="4" t="s">
        <v>8</v>
      </c>
      <c r="C56" s="4" t="s">
        <v>237</v>
      </c>
      <c r="D56" s="4" t="s">
        <v>148</v>
      </c>
      <c r="E56" s="4" t="s">
        <v>238</v>
      </c>
      <c r="F56" s="4" t="n">
        <v>11</v>
      </c>
      <c r="G56" s="4" t="s">
        <v>139</v>
      </c>
      <c r="H56" s="4" t="n">
        <v>1</v>
      </c>
      <c r="I56" s="4" t="n">
        <v>0</v>
      </c>
      <c r="J56" s="22" t="n">
        <f aca="false">IF(ISNUMBER(SEARCH("hour",E56)),INT($J$1-VALUE(LEFT(E56,FIND(" ",E56)-1))/24),IF(ISNUMBER(SEARCH("day",E56)),$J$1-VALUE(LEFT(E56,FIND(" ",E56)-1)),DATE(2000+VALUE(RIGHT(E56,2)),MATCH(MID(E56,FIND("-",E56)+1,3),{"Jan","Feb","Mar","Apr","May","Jun","Jul","Aug","Sep","Oct","Nov","Dec"},0),VALUE(LEFT(E56,FIND("-",E56)-1)))))</f>
        <v>46203</v>
      </c>
      <c r="K56" s="1" t="n">
        <f aca="false">YEAR(J56)*100+MONTH(J56)</f>
        <v>202606</v>
      </c>
      <c r="L56" s="1" t="n">
        <f aca="false">IF(OR(ISNUMBER(SEARCH("stock",C56)),ISNUMBER(SEARCH("forecast",C56)),ISNUMBER(SEARCH("earnings",C56)),ISNUMBER(SEARCH("ipo ",C56&amp;" ")),ISNUMBER(SEARCH("ipo,",C56)),ISNUMBER(SEARCH("lockup",C56)),ISNUMBER(SEARCH("price",C56)),ISNUMBER(SEARCH("mstr",C56)),ISNUMBER(SEARCH("tsm",C56)),ISNUMBER(SEARCH("nvda",C56)),ISNUMBER(SEARCH(" vs ",C56))),1,0)</f>
        <v>0</v>
      </c>
    </row>
    <row r="57" customFormat="false" ht="15" hidden="false" customHeight="true" outlineLevel="0" collapsed="false">
      <c r="A57" s="4" t="s">
        <v>239</v>
      </c>
      <c r="B57" s="4" t="s">
        <v>8</v>
      </c>
      <c r="C57" s="4" t="s">
        <v>240</v>
      </c>
      <c r="D57" s="4" t="s">
        <v>185</v>
      </c>
      <c r="E57" s="4" t="s">
        <v>241</v>
      </c>
      <c r="F57" s="4" t="n">
        <v>12</v>
      </c>
      <c r="G57" s="4" t="s">
        <v>102</v>
      </c>
      <c r="H57" s="4" t="n">
        <v>0</v>
      </c>
      <c r="I57" s="4" t="n">
        <v>0</v>
      </c>
      <c r="J57" s="22" t="n">
        <f aca="false">IF(ISNUMBER(SEARCH("hour",E57)),INT($J$1-VALUE(LEFT(E57,FIND(" ",E57)-1))/24),IF(ISNUMBER(SEARCH("day",E57)),$J$1-VALUE(LEFT(E57,FIND(" ",E57)-1)),DATE(2000+VALUE(RIGHT(E57,2)),MATCH(MID(E57,FIND("-",E57)+1,3),{"Jan","Feb","Mar","Apr","May","Jun","Jul","Aug","Sep","Oct","Nov","Dec"},0),VALUE(LEFT(E57,FIND("-",E57)-1)))))</f>
        <v>46176</v>
      </c>
      <c r="K57" s="1" t="n">
        <f aca="false">YEAR(J57)*100+MONTH(J57)</f>
        <v>202606</v>
      </c>
      <c r="L57" s="1" t="n">
        <f aca="false">IF(OR(ISNUMBER(SEARCH("stock",C57)),ISNUMBER(SEARCH("forecast",C57)),ISNUMBER(SEARCH("earnings",C57)),ISNUMBER(SEARCH("ipo ",C57&amp;" ")),ISNUMBER(SEARCH("ipo,",C57)),ISNUMBER(SEARCH("lockup",C57)),ISNUMBER(SEARCH("price",C57)),ISNUMBER(SEARCH("mstr",C57)),ISNUMBER(SEARCH("tsm",C57)),ISNUMBER(SEARCH("nvda",C57)),ISNUMBER(SEARCH(" vs ",C57))),1,0)</f>
        <v>0</v>
      </c>
    </row>
    <row r="58" customFormat="false" ht="15" hidden="false" customHeight="true" outlineLevel="0" collapsed="false">
      <c r="A58" s="4" t="s">
        <v>242</v>
      </c>
      <c r="B58" s="4" t="s">
        <v>8</v>
      </c>
      <c r="C58" s="4" t="s">
        <v>243</v>
      </c>
      <c r="D58" s="4" t="s">
        <v>185</v>
      </c>
      <c r="E58" s="4" t="s">
        <v>244</v>
      </c>
      <c r="F58" s="4" t="n">
        <v>9</v>
      </c>
      <c r="G58" s="4" t="s">
        <v>102</v>
      </c>
      <c r="H58" s="4" t="n">
        <v>0</v>
      </c>
      <c r="I58" s="4" t="n">
        <v>1</v>
      </c>
      <c r="J58" s="22" t="n">
        <f aca="false">IF(ISNUMBER(SEARCH("hour",E58)),INT($J$1-VALUE(LEFT(E58,FIND(" ",E58)-1))/24),IF(ISNUMBER(SEARCH("day",E58)),$J$1-VALUE(LEFT(E58,FIND(" ",E58)-1)),DATE(2000+VALUE(RIGHT(E58,2)),MATCH(MID(E58,FIND("-",E58)+1,3),{"Jan","Feb","Mar","Apr","May","Jun","Jul","Aug","Sep","Oct","Nov","Dec"},0),VALUE(LEFT(E58,FIND("-",E58)-1)))))</f>
        <v>46162</v>
      </c>
      <c r="K58" s="1" t="n">
        <f aca="false">YEAR(J58)*100+MONTH(J58)</f>
        <v>202605</v>
      </c>
      <c r="L58" s="1" t="n">
        <f aca="false">IF(OR(ISNUMBER(SEARCH("stock",C58)),ISNUMBER(SEARCH("forecast",C58)),ISNUMBER(SEARCH("earnings",C58)),ISNUMBER(SEARCH("ipo ",C58&amp;" ")),ISNUMBER(SEARCH("ipo,",C58)),ISNUMBER(SEARCH("lockup",C58)),ISNUMBER(SEARCH("price",C58)),ISNUMBER(SEARCH("mstr",C58)),ISNUMBER(SEARCH("tsm",C58)),ISNUMBER(SEARCH("nvda",C58)),ISNUMBER(SEARCH(" vs ",C58))),1,0)</f>
        <v>0</v>
      </c>
    </row>
    <row r="59" customFormat="false" ht="15" hidden="false" customHeight="true" outlineLevel="0" collapsed="false">
      <c r="A59" s="4" t="s">
        <v>245</v>
      </c>
      <c r="B59" s="4" t="s">
        <v>8</v>
      </c>
      <c r="C59" s="4" t="s">
        <v>246</v>
      </c>
      <c r="D59" s="4" t="s">
        <v>185</v>
      </c>
      <c r="E59" s="4" t="s">
        <v>247</v>
      </c>
      <c r="F59" s="4" t="n">
        <v>10</v>
      </c>
      <c r="G59" s="4" t="s">
        <v>102</v>
      </c>
      <c r="H59" s="4" t="n">
        <v>0</v>
      </c>
      <c r="I59" s="4" t="n">
        <v>0</v>
      </c>
      <c r="J59" s="22" t="n">
        <f aca="false">IF(ISNUMBER(SEARCH("hour",E59)),INT($J$1-VALUE(LEFT(E59,FIND(" ",E59)-1))/24),IF(ISNUMBER(SEARCH("day",E59)),$J$1-VALUE(LEFT(E59,FIND(" ",E59)-1)),DATE(2000+VALUE(RIGHT(E59,2)),MATCH(MID(E59,FIND("-",E59)+1,3),{"Jan","Feb","Mar","Apr","May","Jun","Jul","Aug","Sep","Oct","Nov","Dec"},0),VALUE(LEFT(E59,FIND("-",E59)-1)))))</f>
        <v>46156</v>
      </c>
      <c r="K59" s="1" t="n">
        <f aca="false">YEAR(J59)*100+MONTH(J59)</f>
        <v>202605</v>
      </c>
      <c r="L59" s="1" t="n">
        <f aca="false">IF(OR(ISNUMBER(SEARCH("stock",C59)),ISNUMBER(SEARCH("forecast",C59)),ISNUMBER(SEARCH("earnings",C59)),ISNUMBER(SEARCH("ipo ",C59&amp;" ")),ISNUMBER(SEARCH("ipo,",C59)),ISNUMBER(SEARCH("lockup",C59)),ISNUMBER(SEARCH("price",C59)),ISNUMBER(SEARCH("mstr",C59)),ISNUMBER(SEARCH("tsm",C59)),ISNUMBER(SEARCH("nvda",C59)),ISNUMBER(SEARCH(" vs ",C59))),1,0)</f>
        <v>1</v>
      </c>
    </row>
    <row r="60" customFormat="false" ht="15" hidden="false" customHeight="true" outlineLevel="0" collapsed="false">
      <c r="A60" s="4" t="s">
        <v>248</v>
      </c>
      <c r="B60" s="4" t="s">
        <v>8</v>
      </c>
      <c r="C60" s="4" t="s">
        <v>249</v>
      </c>
      <c r="D60" s="4" t="s">
        <v>116</v>
      </c>
      <c r="E60" s="4" t="s">
        <v>250</v>
      </c>
      <c r="F60" s="4" t="n">
        <v>8</v>
      </c>
      <c r="G60" s="4" t="s">
        <v>102</v>
      </c>
      <c r="H60" s="4" t="n">
        <v>0</v>
      </c>
      <c r="I60" s="4" t="n">
        <v>0</v>
      </c>
      <c r="J60" s="22" t="n">
        <f aca="false">IF(ISNUMBER(SEARCH("hour",E60)),INT($J$1-VALUE(LEFT(E60,FIND(" ",E60)-1))/24),IF(ISNUMBER(SEARCH("day",E60)),$J$1-VALUE(LEFT(E60,FIND(" ",E60)-1)),DATE(2000+VALUE(RIGHT(E60,2)),MATCH(MID(E60,FIND("-",E60)+1,3),{"Jan","Feb","Mar","Apr","May","Jun","Jul","Aug","Sep","Oct","Nov","Dec"},0),VALUE(LEFT(E60,FIND("-",E60)-1)))))</f>
        <v>46149</v>
      </c>
      <c r="K60" s="1" t="n">
        <f aca="false">YEAR(J60)*100+MONTH(J60)</f>
        <v>202605</v>
      </c>
      <c r="L60" s="1" t="n">
        <f aca="false">IF(OR(ISNUMBER(SEARCH("stock",C60)),ISNUMBER(SEARCH("forecast",C60)),ISNUMBER(SEARCH("earnings",C60)),ISNUMBER(SEARCH("ipo ",C60&amp;" ")),ISNUMBER(SEARCH("ipo,",C60)),ISNUMBER(SEARCH("lockup",C60)),ISNUMBER(SEARCH("price",C60)),ISNUMBER(SEARCH("mstr",C60)),ISNUMBER(SEARCH("tsm",C60)),ISNUMBER(SEARCH("nvda",C60)),ISNUMBER(SEARCH(" vs ",C60))),1,0)</f>
        <v>1</v>
      </c>
    </row>
    <row r="61" customFormat="false" ht="15" hidden="false" customHeight="true" outlineLevel="0" collapsed="false">
      <c r="A61" s="4" t="s">
        <v>251</v>
      </c>
      <c r="B61" s="4" t="s">
        <v>8</v>
      </c>
      <c r="C61" s="4" t="s">
        <v>252</v>
      </c>
      <c r="D61" s="4" t="s">
        <v>116</v>
      </c>
      <c r="E61" s="4" t="s">
        <v>253</v>
      </c>
      <c r="F61" s="4" t="n">
        <v>8</v>
      </c>
      <c r="G61" s="4" t="s">
        <v>109</v>
      </c>
      <c r="H61" s="4" t="n">
        <v>0</v>
      </c>
      <c r="I61" s="4" t="n">
        <v>0</v>
      </c>
      <c r="J61" s="22" t="n">
        <f aca="false">IF(ISNUMBER(SEARCH("hour",E61)),INT($J$1-VALUE(LEFT(E61,FIND(" ",E61)-1))/24),IF(ISNUMBER(SEARCH("day",E61)),$J$1-VALUE(LEFT(E61,FIND(" ",E61)-1)),DATE(2000+VALUE(RIGHT(E61,2)),MATCH(MID(E61,FIND("-",E61)+1,3),{"Jan","Feb","Mar","Apr","May","Jun","Jul","Aug","Sep","Oct","Nov","Dec"},0),VALUE(LEFT(E61,FIND("-",E61)-1)))))</f>
        <v>46148</v>
      </c>
      <c r="K61" s="1" t="n">
        <f aca="false">YEAR(J61)*100+MONTH(J61)</f>
        <v>202605</v>
      </c>
      <c r="L61" s="1" t="n">
        <f aca="false">IF(OR(ISNUMBER(SEARCH("stock",C61)),ISNUMBER(SEARCH("forecast",C61)),ISNUMBER(SEARCH("earnings",C61)),ISNUMBER(SEARCH("ipo ",C61&amp;" ")),ISNUMBER(SEARCH("ipo,",C61)),ISNUMBER(SEARCH("lockup",C61)),ISNUMBER(SEARCH("price",C61)),ISNUMBER(SEARCH("mstr",C61)),ISNUMBER(SEARCH("tsm",C61)),ISNUMBER(SEARCH("nvda",C61)),ISNUMBER(SEARCH(" vs ",C61))),1,0)</f>
        <v>0</v>
      </c>
    </row>
    <row r="62" customFormat="false" ht="15" hidden="false" customHeight="true" outlineLevel="0" collapsed="false">
      <c r="A62" s="4" t="s">
        <v>254</v>
      </c>
      <c r="B62" s="4" t="s">
        <v>8</v>
      </c>
      <c r="C62" s="4" t="s">
        <v>255</v>
      </c>
      <c r="D62" s="4" t="s">
        <v>116</v>
      </c>
      <c r="E62" s="4" t="s">
        <v>256</v>
      </c>
      <c r="F62" s="4" t="n">
        <v>12</v>
      </c>
      <c r="G62" s="4" t="s">
        <v>109</v>
      </c>
      <c r="H62" s="4" t="n">
        <v>1</v>
      </c>
      <c r="I62" s="4" t="n">
        <v>1</v>
      </c>
      <c r="J62" s="22" t="n">
        <f aca="false">IF(ISNUMBER(SEARCH("hour",E62)),INT($J$1-VALUE(LEFT(E62,FIND(" ",E62)-1))/24),IF(ISNUMBER(SEARCH("day",E62)),$J$1-VALUE(LEFT(E62,FIND(" ",E62)-1)),DATE(2000+VALUE(RIGHT(E62,2)),MATCH(MID(E62,FIND("-",E62)+1,3),{"Jan","Feb","Mar","Apr","May","Jun","Jul","Aug","Sep","Oct","Nov","Dec"},0),VALUE(LEFT(E62,FIND("-",E62)-1)))))</f>
        <v>46132</v>
      </c>
      <c r="K62" s="1" t="n">
        <f aca="false">YEAR(J62)*100+MONTH(J62)</f>
        <v>202604</v>
      </c>
      <c r="L62" s="1" t="n">
        <f aca="false">IF(OR(ISNUMBER(SEARCH("stock",C62)),ISNUMBER(SEARCH("forecast",C62)),ISNUMBER(SEARCH("earnings",C62)),ISNUMBER(SEARCH("ipo ",C62&amp;" ")),ISNUMBER(SEARCH("ipo,",C62)),ISNUMBER(SEARCH("lockup",C62)),ISNUMBER(SEARCH("price",C62)),ISNUMBER(SEARCH("mstr",C62)),ISNUMBER(SEARCH("tsm",C62)),ISNUMBER(SEARCH("nvda",C62)),ISNUMBER(SEARCH(" vs ",C62))),1,0)</f>
        <v>1</v>
      </c>
    </row>
    <row r="63" customFormat="false" ht="15" hidden="false" customHeight="true" outlineLevel="0" collapsed="false">
      <c r="A63" s="4" t="s">
        <v>257</v>
      </c>
      <c r="B63" s="4" t="s">
        <v>8</v>
      </c>
      <c r="C63" s="4" t="s">
        <v>258</v>
      </c>
      <c r="D63" s="4" t="s">
        <v>185</v>
      </c>
      <c r="E63" s="4" t="s">
        <v>259</v>
      </c>
      <c r="F63" s="4" t="n">
        <v>14</v>
      </c>
      <c r="G63" s="4" t="s">
        <v>102</v>
      </c>
      <c r="H63" s="4" t="n">
        <v>0</v>
      </c>
      <c r="I63" s="4" t="n">
        <v>1</v>
      </c>
      <c r="J63" s="22" t="n">
        <f aca="false">IF(ISNUMBER(SEARCH("hour",E63)),INT($J$1-VALUE(LEFT(E63,FIND(" ",E63)-1))/24),IF(ISNUMBER(SEARCH("day",E63)),$J$1-VALUE(LEFT(E63,FIND(" ",E63)-1)),DATE(2000+VALUE(RIGHT(E63,2)),MATCH(MID(E63,FIND("-",E63)+1,3),{"Jan","Feb","Mar","Apr","May","Jun","Jul","Aug","Sep","Oct","Nov","Dec"},0),VALUE(LEFT(E63,FIND("-",E63)-1)))))</f>
        <v>46130</v>
      </c>
      <c r="K63" s="1" t="n">
        <f aca="false">YEAR(J63)*100+MONTH(J63)</f>
        <v>202604</v>
      </c>
      <c r="L63" s="1" t="n">
        <f aca="false">IF(OR(ISNUMBER(SEARCH("stock",C63)),ISNUMBER(SEARCH("forecast",C63)),ISNUMBER(SEARCH("earnings",C63)),ISNUMBER(SEARCH("ipo ",C63&amp;" ")),ISNUMBER(SEARCH("ipo,",C63)),ISNUMBER(SEARCH("lockup",C63)),ISNUMBER(SEARCH("price",C63)),ISNUMBER(SEARCH("mstr",C63)),ISNUMBER(SEARCH("tsm",C63)),ISNUMBER(SEARCH("nvda",C63)),ISNUMBER(SEARCH(" vs ",C63))),1,0)</f>
        <v>0</v>
      </c>
    </row>
    <row r="64" customFormat="false" ht="15" hidden="false" customHeight="true" outlineLevel="0" collapsed="false">
      <c r="A64" s="4" t="s">
        <v>260</v>
      </c>
      <c r="B64" s="4" t="s">
        <v>10</v>
      </c>
      <c r="C64" s="4" t="s">
        <v>261</v>
      </c>
      <c r="D64" s="4" t="s">
        <v>112</v>
      </c>
      <c r="E64" s="4" t="s">
        <v>160</v>
      </c>
      <c r="F64" s="4" t="n">
        <v>12</v>
      </c>
      <c r="G64" s="4" t="s">
        <v>102</v>
      </c>
      <c r="H64" s="4" t="n">
        <v>1</v>
      </c>
      <c r="I64" s="4" t="n">
        <v>1</v>
      </c>
      <c r="J64" s="22" t="n">
        <f aca="false">IF(ISNUMBER(SEARCH("hour",E64)),INT($J$1-VALUE(LEFT(E64,FIND(" ",E64)-1))/24),IF(ISNUMBER(SEARCH("day",E64)),$J$1-VALUE(LEFT(E64,FIND(" ",E64)-1)),DATE(2000+VALUE(RIGHT(E64,2)),MATCH(MID(E64,FIND("-",E64)+1,3),{"Jan","Feb","Mar","Apr","May","Jun","Jul","Aug","Sep","Oct","Nov","Dec"},0),VALUE(LEFT(E64,FIND("-",E64)-1)))))</f>
        <v>46253</v>
      </c>
      <c r="K64" s="1" t="n">
        <f aca="false">YEAR(J64)*100+MONTH(J64)</f>
        <v>202608</v>
      </c>
      <c r="L64" s="1" t="n">
        <f aca="false">IF(OR(ISNUMBER(SEARCH("stock",C64)),ISNUMBER(SEARCH("forecast",C64)),ISNUMBER(SEARCH("earnings",C64)),ISNUMBER(SEARCH("ipo ",C64&amp;" ")),ISNUMBER(SEARCH("ipo,",C64)),ISNUMBER(SEARCH("lockup",C64)),ISNUMBER(SEARCH("price",C64)),ISNUMBER(SEARCH("mstr",C64)),ISNUMBER(SEARCH("tsm",C64)),ISNUMBER(SEARCH("nvda",C64)),ISNUMBER(SEARCH(" vs ",C64))),1,0)</f>
        <v>0</v>
      </c>
    </row>
    <row r="65" customFormat="false" ht="15" hidden="false" customHeight="true" outlineLevel="0" collapsed="false">
      <c r="A65" s="4" t="s">
        <v>262</v>
      </c>
      <c r="B65" s="4" t="s">
        <v>10</v>
      </c>
      <c r="C65" s="4" t="s">
        <v>263</v>
      </c>
      <c r="D65" s="4" t="s">
        <v>264</v>
      </c>
      <c r="E65" s="4" t="s">
        <v>160</v>
      </c>
      <c r="F65" s="4" t="n">
        <v>13</v>
      </c>
      <c r="G65" s="4" t="s">
        <v>109</v>
      </c>
      <c r="H65" s="4" t="n">
        <v>1</v>
      </c>
      <c r="I65" s="4" t="n">
        <v>1</v>
      </c>
      <c r="J65" s="22" t="n">
        <f aca="false">IF(ISNUMBER(SEARCH("hour",E65)),INT($J$1-VALUE(LEFT(E65,FIND(" ",E65)-1))/24),IF(ISNUMBER(SEARCH("day",E65)),$J$1-VALUE(LEFT(E65,FIND(" ",E65)-1)),DATE(2000+VALUE(RIGHT(E65,2)),MATCH(MID(E65,FIND("-",E65)+1,3),{"Jan","Feb","Mar","Apr","May","Jun","Jul","Aug","Sep","Oct","Nov","Dec"},0),VALUE(LEFT(E65,FIND("-",E65)-1)))))</f>
        <v>46253</v>
      </c>
      <c r="K65" s="1" t="n">
        <f aca="false">YEAR(J65)*100+MONTH(J65)</f>
        <v>202608</v>
      </c>
      <c r="L65" s="1" t="n">
        <f aca="false">IF(OR(ISNUMBER(SEARCH("stock",C65)),ISNUMBER(SEARCH("forecast",C65)),ISNUMBER(SEARCH("earnings",C65)),ISNUMBER(SEARCH("ipo ",C65&amp;" ")),ISNUMBER(SEARCH("ipo,",C65)),ISNUMBER(SEARCH("lockup",C65)),ISNUMBER(SEARCH("price",C65)),ISNUMBER(SEARCH("mstr",C65)),ISNUMBER(SEARCH("tsm",C65)),ISNUMBER(SEARCH("nvda",C65)),ISNUMBER(SEARCH(" vs ",C65))),1,0)</f>
        <v>0</v>
      </c>
    </row>
    <row r="66" customFormat="false" ht="15" hidden="false" customHeight="true" outlineLevel="0" collapsed="false">
      <c r="A66" s="4" t="s">
        <v>265</v>
      </c>
      <c r="B66" s="4" t="s">
        <v>10</v>
      </c>
      <c r="C66" s="4" t="s">
        <v>266</v>
      </c>
      <c r="D66" s="4" t="s">
        <v>148</v>
      </c>
      <c r="E66" s="4" t="s">
        <v>267</v>
      </c>
      <c r="F66" s="4" t="n">
        <v>12</v>
      </c>
      <c r="G66" s="4" t="s">
        <v>102</v>
      </c>
      <c r="H66" s="4" t="n">
        <v>1</v>
      </c>
      <c r="I66" s="4" t="n">
        <v>1</v>
      </c>
      <c r="J66" s="22" t="n">
        <f aca="false">IF(ISNUMBER(SEARCH("hour",E66)),INT($J$1-VALUE(LEFT(E66,FIND(" ",E66)-1))/24),IF(ISNUMBER(SEARCH("day",E66)),$J$1-VALUE(LEFT(E66,FIND(" ",E66)-1)),DATE(2000+VALUE(RIGHT(E66,2)),MATCH(MID(E66,FIND("-",E66)+1,3),{"Jan","Feb","Mar","Apr","May","Jun","Jul","Aug","Sep","Oct","Nov","Dec"},0),VALUE(LEFT(E66,FIND("-",E66)-1)))))</f>
        <v>46248</v>
      </c>
      <c r="K66" s="1" t="n">
        <f aca="false">YEAR(J66)*100+MONTH(J66)</f>
        <v>202608</v>
      </c>
      <c r="L66" s="1" t="n">
        <f aca="false">IF(OR(ISNUMBER(SEARCH("stock",C66)),ISNUMBER(SEARCH("forecast",C66)),ISNUMBER(SEARCH("earnings",C66)),ISNUMBER(SEARCH("ipo ",C66&amp;" ")),ISNUMBER(SEARCH("ipo,",C66)),ISNUMBER(SEARCH("lockup",C66)),ISNUMBER(SEARCH("price",C66)),ISNUMBER(SEARCH("mstr",C66)),ISNUMBER(SEARCH("tsm",C66)),ISNUMBER(SEARCH("nvda",C66)),ISNUMBER(SEARCH(" vs ",C66))),1,0)</f>
        <v>0</v>
      </c>
    </row>
    <row r="67" customFormat="false" ht="15" hidden="false" customHeight="true" outlineLevel="0" collapsed="false">
      <c r="A67" s="4" t="s">
        <v>268</v>
      </c>
      <c r="B67" s="4" t="s">
        <v>10</v>
      </c>
      <c r="C67" s="4" t="s">
        <v>269</v>
      </c>
      <c r="D67" s="4" t="s">
        <v>100</v>
      </c>
      <c r="E67" s="4" t="s">
        <v>221</v>
      </c>
      <c r="F67" s="4" t="n">
        <v>10</v>
      </c>
      <c r="G67" s="4" t="s">
        <v>109</v>
      </c>
      <c r="H67" s="4" t="n">
        <v>1</v>
      </c>
      <c r="I67" s="4" t="n">
        <v>0</v>
      </c>
      <c r="J67" s="22" t="n">
        <f aca="false">IF(ISNUMBER(SEARCH("hour",E67)),INT($J$1-VALUE(LEFT(E67,FIND(" ",E67)-1))/24),IF(ISNUMBER(SEARCH("day",E67)),$J$1-VALUE(LEFT(E67,FIND(" ",E67)-1)),DATE(2000+VALUE(RIGHT(E67,2)),MATCH(MID(E67,FIND("-",E67)+1,3),{"Jan","Feb","Mar","Apr","May","Jun","Jul","Aug","Sep","Oct","Nov","Dec"},0),VALUE(LEFT(E67,FIND("-",E67)-1)))))</f>
        <v>46243</v>
      </c>
      <c r="K67" s="1" t="n">
        <f aca="false">YEAR(J67)*100+MONTH(J67)</f>
        <v>202608</v>
      </c>
      <c r="L67" s="1" t="n">
        <f aca="false">IF(OR(ISNUMBER(SEARCH("stock",C67)),ISNUMBER(SEARCH("forecast",C67)),ISNUMBER(SEARCH("earnings",C67)),ISNUMBER(SEARCH("ipo ",C67&amp;" ")),ISNUMBER(SEARCH("ipo,",C67)),ISNUMBER(SEARCH("lockup",C67)),ISNUMBER(SEARCH("price",C67)),ISNUMBER(SEARCH("mstr",C67)),ISNUMBER(SEARCH("tsm",C67)),ISNUMBER(SEARCH("nvda",C67)),ISNUMBER(SEARCH(" vs ",C67))),1,0)</f>
        <v>0</v>
      </c>
    </row>
    <row r="68" customFormat="false" ht="15" hidden="false" customHeight="true" outlineLevel="0" collapsed="false">
      <c r="A68" s="4" t="s">
        <v>270</v>
      </c>
      <c r="B68" s="4" t="s">
        <v>10</v>
      </c>
      <c r="C68" s="4" t="s">
        <v>271</v>
      </c>
      <c r="D68" s="4" t="s">
        <v>108</v>
      </c>
      <c r="E68" s="4" t="s">
        <v>221</v>
      </c>
      <c r="F68" s="4" t="n">
        <v>10</v>
      </c>
      <c r="G68" s="4" t="s">
        <v>102</v>
      </c>
      <c r="H68" s="4" t="n">
        <v>1</v>
      </c>
      <c r="I68" s="4" t="n">
        <v>0</v>
      </c>
      <c r="J68" s="22" t="n">
        <f aca="false">IF(ISNUMBER(SEARCH("hour",E68)),INT($J$1-VALUE(LEFT(E68,FIND(" ",E68)-1))/24),IF(ISNUMBER(SEARCH("day",E68)),$J$1-VALUE(LEFT(E68,FIND(" ",E68)-1)),DATE(2000+VALUE(RIGHT(E68,2)),MATCH(MID(E68,FIND("-",E68)+1,3),{"Jan","Feb","Mar","Apr","May","Jun","Jul","Aug","Sep","Oct","Nov","Dec"},0),VALUE(LEFT(E68,FIND("-",E68)-1)))))</f>
        <v>46243</v>
      </c>
      <c r="K68" s="1" t="n">
        <f aca="false">YEAR(J68)*100+MONTH(J68)</f>
        <v>202608</v>
      </c>
      <c r="L68" s="1" t="n">
        <f aca="false">IF(OR(ISNUMBER(SEARCH("stock",C68)),ISNUMBER(SEARCH("forecast",C68)),ISNUMBER(SEARCH("earnings",C68)),ISNUMBER(SEARCH("ipo ",C68&amp;" ")),ISNUMBER(SEARCH("ipo,",C68)),ISNUMBER(SEARCH("lockup",C68)),ISNUMBER(SEARCH("price",C68)),ISNUMBER(SEARCH("mstr",C68)),ISNUMBER(SEARCH("tsm",C68)),ISNUMBER(SEARCH("nvda",C68)),ISNUMBER(SEARCH(" vs ",C68))),1,0)</f>
        <v>0</v>
      </c>
    </row>
    <row r="69" customFormat="false" ht="15" hidden="false" customHeight="true" outlineLevel="0" collapsed="false">
      <c r="A69" s="4" t="s">
        <v>272</v>
      </c>
      <c r="B69" s="4" t="s">
        <v>10</v>
      </c>
      <c r="C69" s="4" t="s">
        <v>273</v>
      </c>
      <c r="D69" s="4" t="s">
        <v>112</v>
      </c>
      <c r="E69" s="4" t="s">
        <v>274</v>
      </c>
      <c r="F69" s="4" t="n">
        <v>12</v>
      </c>
      <c r="G69" s="4" t="s">
        <v>109</v>
      </c>
      <c r="H69" s="4" t="n">
        <v>0</v>
      </c>
      <c r="I69" s="4" t="n">
        <v>0</v>
      </c>
      <c r="J69" s="22" t="n">
        <f aca="false">IF(ISNUMBER(SEARCH("hour",E69)),INT($J$1-VALUE(LEFT(E69,FIND(" ",E69)-1))/24),IF(ISNUMBER(SEARCH("day",E69)),$J$1-VALUE(LEFT(E69,FIND(" ",E69)-1)),DATE(2000+VALUE(RIGHT(E69,2)),MATCH(MID(E69,FIND("-",E69)+1,3),{"Jan","Feb","Mar","Apr","May","Jun","Jul","Aug","Sep","Oct","Nov","Dec"},0),VALUE(LEFT(E69,FIND("-",E69)-1)))))</f>
        <v>46228</v>
      </c>
      <c r="K69" s="1" t="n">
        <f aca="false">YEAR(J69)*100+MONTH(J69)</f>
        <v>202607</v>
      </c>
      <c r="L69" s="1" t="n">
        <f aca="false">IF(OR(ISNUMBER(SEARCH("stock",C69)),ISNUMBER(SEARCH("forecast",C69)),ISNUMBER(SEARCH("earnings",C69)),ISNUMBER(SEARCH("ipo ",C69&amp;" ")),ISNUMBER(SEARCH("ipo,",C69)),ISNUMBER(SEARCH("lockup",C69)),ISNUMBER(SEARCH("price",C69)),ISNUMBER(SEARCH("mstr",C69)),ISNUMBER(SEARCH("tsm",C69)),ISNUMBER(SEARCH("nvda",C69)),ISNUMBER(SEARCH(" vs ",C69))),1,0)</f>
        <v>0</v>
      </c>
    </row>
    <row r="70" customFormat="false" ht="15" hidden="false" customHeight="true" outlineLevel="0" collapsed="false">
      <c r="A70" s="4" t="s">
        <v>275</v>
      </c>
      <c r="B70" s="4" t="s">
        <v>10</v>
      </c>
      <c r="C70" s="4" t="s">
        <v>276</v>
      </c>
      <c r="D70" s="4" t="s">
        <v>112</v>
      </c>
      <c r="E70" s="4" t="s">
        <v>172</v>
      </c>
      <c r="F70" s="4" t="n">
        <v>12</v>
      </c>
      <c r="G70" s="4" t="s">
        <v>109</v>
      </c>
      <c r="H70" s="4" t="n">
        <v>0</v>
      </c>
      <c r="I70" s="4" t="n">
        <v>1</v>
      </c>
      <c r="J70" s="22" t="n">
        <f aca="false">IF(ISNUMBER(SEARCH("hour",E70)),INT($J$1-VALUE(LEFT(E70,FIND(" ",E70)-1))/24),IF(ISNUMBER(SEARCH("day",E70)),$J$1-VALUE(LEFT(E70,FIND(" ",E70)-1)),DATE(2000+VALUE(RIGHT(E70,2)),MATCH(MID(E70,FIND("-",E70)+1,3),{"Jan","Feb","Mar","Apr","May","Jun","Jul","Aug","Sep","Oct","Nov","Dec"},0),VALUE(LEFT(E70,FIND("-",E70)-1)))))</f>
        <v>46227</v>
      </c>
      <c r="K70" s="1" t="n">
        <f aca="false">YEAR(J70)*100+MONTH(J70)</f>
        <v>202607</v>
      </c>
      <c r="L70" s="1" t="n">
        <f aca="false">IF(OR(ISNUMBER(SEARCH("stock",C70)),ISNUMBER(SEARCH("forecast",C70)),ISNUMBER(SEARCH("earnings",C70)),ISNUMBER(SEARCH("ipo ",C70&amp;" ")),ISNUMBER(SEARCH("ipo,",C70)),ISNUMBER(SEARCH("lockup",C70)),ISNUMBER(SEARCH("price",C70)),ISNUMBER(SEARCH("mstr",C70)),ISNUMBER(SEARCH("tsm",C70)),ISNUMBER(SEARCH("nvda",C70)),ISNUMBER(SEARCH(" vs ",C70))),1,0)</f>
        <v>0</v>
      </c>
    </row>
    <row r="71" customFormat="false" ht="15" hidden="false" customHeight="true" outlineLevel="0" collapsed="false">
      <c r="A71" s="4" t="s">
        <v>277</v>
      </c>
      <c r="B71" s="4" t="s">
        <v>10</v>
      </c>
      <c r="C71" s="4" t="s">
        <v>278</v>
      </c>
      <c r="D71" s="4" t="s">
        <v>112</v>
      </c>
      <c r="E71" s="4" t="s">
        <v>175</v>
      </c>
      <c r="F71" s="4" t="n">
        <v>12</v>
      </c>
      <c r="G71" s="4" t="s">
        <v>139</v>
      </c>
      <c r="H71" s="4" t="n">
        <v>0</v>
      </c>
      <c r="I71" s="4" t="n">
        <v>0</v>
      </c>
      <c r="J71" s="22" t="n">
        <f aca="false">IF(ISNUMBER(SEARCH("hour",E71)),INT($J$1-VALUE(LEFT(E71,FIND(" ",E71)-1))/24),IF(ISNUMBER(SEARCH("day",E71)),$J$1-VALUE(LEFT(E71,FIND(" ",E71)-1)),DATE(2000+VALUE(RIGHT(E71,2)),MATCH(MID(E71,FIND("-",E71)+1,3),{"Jan","Feb","Mar","Apr","May","Jun","Jul","Aug","Sep","Oct","Nov","Dec"},0),VALUE(LEFT(E71,FIND("-",E71)-1)))))</f>
        <v>46226</v>
      </c>
      <c r="K71" s="1" t="n">
        <f aca="false">YEAR(J71)*100+MONTH(J71)</f>
        <v>202607</v>
      </c>
      <c r="L71" s="1" t="n">
        <f aca="false">IF(OR(ISNUMBER(SEARCH("stock",C71)),ISNUMBER(SEARCH("forecast",C71)),ISNUMBER(SEARCH("earnings",C71)),ISNUMBER(SEARCH("ipo ",C71&amp;" ")),ISNUMBER(SEARCH("ipo,",C71)),ISNUMBER(SEARCH("lockup",C71)),ISNUMBER(SEARCH("price",C71)),ISNUMBER(SEARCH("mstr",C71)),ISNUMBER(SEARCH("tsm",C71)),ISNUMBER(SEARCH("nvda",C71)),ISNUMBER(SEARCH(" vs ",C71))),1,0)</f>
        <v>0</v>
      </c>
    </row>
    <row r="72" customFormat="false" ht="15" hidden="false" customHeight="true" outlineLevel="0" collapsed="false">
      <c r="A72" s="4" t="s">
        <v>279</v>
      </c>
      <c r="B72" s="4" t="s">
        <v>10</v>
      </c>
      <c r="C72" s="4" t="s">
        <v>280</v>
      </c>
      <c r="D72" s="4" t="s">
        <v>112</v>
      </c>
      <c r="E72" s="4" t="s">
        <v>175</v>
      </c>
      <c r="F72" s="4" t="n">
        <v>11</v>
      </c>
      <c r="G72" s="4" t="s">
        <v>139</v>
      </c>
      <c r="H72" s="4" t="n">
        <v>0</v>
      </c>
      <c r="I72" s="4" t="n">
        <v>1</v>
      </c>
      <c r="J72" s="22" t="n">
        <f aca="false">IF(ISNUMBER(SEARCH("hour",E72)),INT($J$1-VALUE(LEFT(E72,FIND(" ",E72)-1))/24),IF(ISNUMBER(SEARCH("day",E72)),$J$1-VALUE(LEFT(E72,FIND(" ",E72)-1)),DATE(2000+VALUE(RIGHT(E72,2)),MATCH(MID(E72,FIND("-",E72)+1,3),{"Jan","Feb","Mar","Apr","May","Jun","Jul","Aug","Sep","Oct","Nov","Dec"},0),VALUE(LEFT(E72,FIND("-",E72)-1)))))</f>
        <v>46226</v>
      </c>
      <c r="K72" s="1" t="n">
        <f aca="false">YEAR(J72)*100+MONTH(J72)</f>
        <v>202607</v>
      </c>
      <c r="L72" s="1" t="n">
        <f aca="false">IF(OR(ISNUMBER(SEARCH("stock",C72)),ISNUMBER(SEARCH("forecast",C72)),ISNUMBER(SEARCH("earnings",C72)),ISNUMBER(SEARCH("ipo ",C72&amp;" ")),ISNUMBER(SEARCH("ipo,",C72)),ISNUMBER(SEARCH("lockup",C72)),ISNUMBER(SEARCH("price",C72)),ISNUMBER(SEARCH("mstr",C72)),ISNUMBER(SEARCH("tsm",C72)),ISNUMBER(SEARCH("nvda",C72)),ISNUMBER(SEARCH(" vs ",C72))),1,0)</f>
        <v>0</v>
      </c>
    </row>
    <row r="73" customFormat="false" ht="15" hidden="false" customHeight="true" outlineLevel="0" collapsed="false">
      <c r="A73" s="4" t="s">
        <v>281</v>
      </c>
      <c r="B73" s="4" t="s">
        <v>10</v>
      </c>
      <c r="C73" s="4" t="s">
        <v>282</v>
      </c>
      <c r="D73" s="4" t="s">
        <v>211</v>
      </c>
      <c r="E73" s="4" t="s">
        <v>179</v>
      </c>
      <c r="F73" s="4" t="n">
        <v>10</v>
      </c>
      <c r="G73" s="4" t="s">
        <v>139</v>
      </c>
      <c r="H73" s="4" t="n">
        <v>0</v>
      </c>
      <c r="I73" s="4" t="n">
        <v>0</v>
      </c>
      <c r="J73" s="22" t="n">
        <f aca="false">IF(ISNUMBER(SEARCH("hour",E73)),INT($J$1-VALUE(LEFT(E73,FIND(" ",E73)-1))/24),IF(ISNUMBER(SEARCH("day",E73)),$J$1-VALUE(LEFT(E73,FIND(" ",E73)-1)),DATE(2000+VALUE(RIGHT(E73,2)),MATCH(MID(E73,FIND("-",E73)+1,3),{"Jan","Feb","Mar","Apr","May","Jun","Jul","Aug","Sep","Oct","Nov","Dec"},0),VALUE(LEFT(E73,FIND("-",E73)-1)))))</f>
        <v>46224</v>
      </c>
      <c r="K73" s="1" t="n">
        <f aca="false">YEAR(J73)*100+MONTH(J73)</f>
        <v>202607</v>
      </c>
      <c r="L73" s="1" t="n">
        <f aca="false">IF(OR(ISNUMBER(SEARCH("stock",C73)),ISNUMBER(SEARCH("forecast",C73)),ISNUMBER(SEARCH("earnings",C73)),ISNUMBER(SEARCH("ipo ",C73&amp;" ")),ISNUMBER(SEARCH("ipo,",C73)),ISNUMBER(SEARCH("lockup",C73)),ISNUMBER(SEARCH("price",C73)),ISNUMBER(SEARCH("mstr",C73)),ISNUMBER(SEARCH("tsm",C73)),ISNUMBER(SEARCH("nvda",C73)),ISNUMBER(SEARCH(" vs ",C73))),1,0)</f>
        <v>0</v>
      </c>
    </row>
    <row r="74" customFormat="false" ht="15" hidden="false" customHeight="true" outlineLevel="0" collapsed="false">
      <c r="A74" s="4" t="s">
        <v>283</v>
      </c>
      <c r="B74" s="4" t="s">
        <v>10</v>
      </c>
      <c r="C74" s="4" t="s">
        <v>284</v>
      </c>
      <c r="D74" s="4" t="s">
        <v>211</v>
      </c>
      <c r="E74" s="4" t="s">
        <v>182</v>
      </c>
      <c r="F74" s="4" t="n">
        <v>9</v>
      </c>
      <c r="G74" s="4" t="s">
        <v>109</v>
      </c>
      <c r="H74" s="4" t="n">
        <v>1</v>
      </c>
      <c r="I74" s="4" t="n">
        <v>1</v>
      </c>
      <c r="J74" s="22" t="n">
        <f aca="false">IF(ISNUMBER(SEARCH("hour",E74)),INT($J$1-VALUE(LEFT(E74,FIND(" ",E74)-1))/24),IF(ISNUMBER(SEARCH("day",E74)),$J$1-VALUE(LEFT(E74,FIND(" ",E74)-1)),DATE(2000+VALUE(RIGHT(E74,2)),MATCH(MID(E74,FIND("-",E74)+1,3),{"Jan","Feb","Mar","Apr","May","Jun","Jul","Aug","Sep","Oct","Nov","Dec"},0),VALUE(LEFT(E74,FIND("-",E74)-1)))))</f>
        <v>46220</v>
      </c>
      <c r="K74" s="1" t="n">
        <f aca="false">YEAR(J74)*100+MONTH(J74)</f>
        <v>202607</v>
      </c>
      <c r="L74" s="1" t="n">
        <f aca="false">IF(OR(ISNUMBER(SEARCH("stock",C74)),ISNUMBER(SEARCH("forecast",C74)),ISNUMBER(SEARCH("earnings",C74)),ISNUMBER(SEARCH("ipo ",C74&amp;" ")),ISNUMBER(SEARCH("ipo,",C74)),ISNUMBER(SEARCH("lockup",C74)),ISNUMBER(SEARCH("price",C74)),ISNUMBER(SEARCH("mstr",C74)),ISNUMBER(SEARCH("tsm",C74)),ISNUMBER(SEARCH("nvda",C74)),ISNUMBER(SEARCH(" vs ",C74))),1,0)</f>
        <v>0</v>
      </c>
    </row>
    <row r="75" customFormat="false" ht="15" hidden="false" customHeight="true" outlineLevel="0" collapsed="false">
      <c r="A75" s="4" t="s">
        <v>285</v>
      </c>
      <c r="B75" s="4" t="s">
        <v>10</v>
      </c>
      <c r="C75" s="4" t="s">
        <v>286</v>
      </c>
      <c r="D75" s="4" t="s">
        <v>264</v>
      </c>
      <c r="E75" s="4" t="s">
        <v>287</v>
      </c>
      <c r="F75" s="4" t="n">
        <v>10</v>
      </c>
      <c r="G75" s="4" t="s">
        <v>109</v>
      </c>
      <c r="H75" s="4" t="n">
        <v>1</v>
      </c>
      <c r="I75" s="4" t="n">
        <v>0</v>
      </c>
      <c r="J75" s="22" t="n">
        <f aca="false">IF(ISNUMBER(SEARCH("hour",E75)),INT($J$1-VALUE(LEFT(E75,FIND(" ",E75)-1))/24),IF(ISNUMBER(SEARCH("day",E75)),$J$1-VALUE(LEFT(E75,FIND(" ",E75)-1)),DATE(2000+VALUE(RIGHT(E75,2)),MATCH(MID(E75,FIND("-",E75)+1,3),{"Jan","Feb","Mar","Apr","May","Jun","Jul","Aug","Sep","Oct","Nov","Dec"},0),VALUE(LEFT(E75,FIND("-",E75)-1)))))</f>
        <v>46219</v>
      </c>
      <c r="K75" s="1" t="n">
        <f aca="false">YEAR(J75)*100+MONTH(J75)</f>
        <v>202607</v>
      </c>
      <c r="L75" s="1" t="n">
        <f aca="false">IF(OR(ISNUMBER(SEARCH("stock",C75)),ISNUMBER(SEARCH("forecast",C75)),ISNUMBER(SEARCH("earnings",C75)),ISNUMBER(SEARCH("ipo ",C75&amp;" ")),ISNUMBER(SEARCH("ipo,",C75)),ISNUMBER(SEARCH("lockup",C75)),ISNUMBER(SEARCH("price",C75)),ISNUMBER(SEARCH("mstr",C75)),ISNUMBER(SEARCH("tsm",C75)),ISNUMBER(SEARCH("nvda",C75)),ISNUMBER(SEARCH(" vs ",C75))),1,0)</f>
        <v>0</v>
      </c>
    </row>
    <row r="76" customFormat="false" ht="15" hidden="false" customHeight="true" outlineLevel="0" collapsed="false">
      <c r="A76" s="4" t="s">
        <v>288</v>
      </c>
      <c r="B76" s="4" t="s">
        <v>10</v>
      </c>
      <c r="C76" s="4" t="s">
        <v>289</v>
      </c>
      <c r="D76" s="4" t="s">
        <v>211</v>
      </c>
      <c r="E76" s="4" t="s">
        <v>186</v>
      </c>
      <c r="F76" s="4" t="n">
        <v>9</v>
      </c>
      <c r="G76" s="4" t="s">
        <v>109</v>
      </c>
      <c r="H76" s="4" t="n">
        <v>0</v>
      </c>
      <c r="I76" s="4" t="n">
        <v>0</v>
      </c>
      <c r="J76" s="22" t="n">
        <f aca="false">IF(ISNUMBER(SEARCH("hour",E76)),INT($J$1-VALUE(LEFT(E76,FIND(" ",E76)-1))/24),IF(ISNUMBER(SEARCH("day",E76)),$J$1-VALUE(LEFT(E76,FIND(" ",E76)-1)),DATE(2000+VALUE(RIGHT(E76,2)),MATCH(MID(E76,FIND("-",E76)+1,3),{"Jan","Feb","Mar","Apr","May","Jun","Jul","Aug","Sep","Oct","Nov","Dec"},0),VALUE(LEFT(E76,FIND("-",E76)-1)))))</f>
        <v>46218</v>
      </c>
      <c r="K76" s="1" t="n">
        <f aca="false">YEAR(J76)*100+MONTH(J76)</f>
        <v>202607</v>
      </c>
      <c r="L76" s="1" t="n">
        <f aca="false">IF(OR(ISNUMBER(SEARCH("stock",C76)),ISNUMBER(SEARCH("forecast",C76)),ISNUMBER(SEARCH("earnings",C76)),ISNUMBER(SEARCH("ipo ",C76&amp;" ")),ISNUMBER(SEARCH("ipo,",C76)),ISNUMBER(SEARCH("lockup",C76)),ISNUMBER(SEARCH("price",C76)),ISNUMBER(SEARCH("mstr",C76)),ISNUMBER(SEARCH("tsm",C76)),ISNUMBER(SEARCH("nvda",C76)),ISNUMBER(SEARCH(" vs ",C76))),1,0)</f>
        <v>0</v>
      </c>
    </row>
    <row r="77" customFormat="false" ht="15" hidden="false" customHeight="true" outlineLevel="0" collapsed="false">
      <c r="A77" s="4" t="s">
        <v>290</v>
      </c>
      <c r="B77" s="4" t="s">
        <v>10</v>
      </c>
      <c r="C77" s="4" t="s">
        <v>291</v>
      </c>
      <c r="D77" s="4" t="s">
        <v>211</v>
      </c>
      <c r="E77" s="4" t="s">
        <v>231</v>
      </c>
      <c r="F77" s="4" t="n">
        <v>11</v>
      </c>
      <c r="G77" s="4" t="s">
        <v>102</v>
      </c>
      <c r="H77" s="4" t="n">
        <v>0</v>
      </c>
      <c r="I77" s="4" t="n">
        <v>0</v>
      </c>
      <c r="J77" s="22" t="n">
        <f aca="false">IF(ISNUMBER(SEARCH("hour",E77)),INT($J$1-VALUE(LEFT(E77,FIND(" ",E77)-1))/24),IF(ISNUMBER(SEARCH("day",E77)),$J$1-VALUE(LEFT(E77,FIND(" ",E77)-1)),DATE(2000+VALUE(RIGHT(E77,2)),MATCH(MID(E77,FIND("-",E77)+1,3),{"Jan","Feb","Mar","Apr","May","Jun","Jul","Aug","Sep","Oct","Nov","Dec"},0),VALUE(LEFT(E77,FIND("-",E77)-1)))))</f>
        <v>46215</v>
      </c>
      <c r="K77" s="1" t="n">
        <f aca="false">YEAR(J77)*100+MONTH(J77)</f>
        <v>202607</v>
      </c>
      <c r="L77" s="1" t="n">
        <f aca="false">IF(OR(ISNUMBER(SEARCH("stock",C77)),ISNUMBER(SEARCH("forecast",C77)),ISNUMBER(SEARCH("earnings",C77)),ISNUMBER(SEARCH("ipo ",C77&amp;" ")),ISNUMBER(SEARCH("ipo,",C77)),ISNUMBER(SEARCH("lockup",C77)),ISNUMBER(SEARCH("price",C77)),ISNUMBER(SEARCH("mstr",C77)),ISNUMBER(SEARCH("tsm",C77)),ISNUMBER(SEARCH("nvda",C77)),ISNUMBER(SEARCH(" vs ",C77))),1,0)</f>
        <v>0</v>
      </c>
    </row>
    <row r="78" customFormat="false" ht="15" hidden="false" customHeight="true" outlineLevel="0" collapsed="false">
      <c r="A78" s="4" t="s">
        <v>292</v>
      </c>
      <c r="B78" s="4" t="s">
        <v>10</v>
      </c>
      <c r="C78" s="4" t="s">
        <v>293</v>
      </c>
      <c r="D78" s="4" t="s">
        <v>122</v>
      </c>
      <c r="E78" s="4" t="s">
        <v>294</v>
      </c>
      <c r="F78" s="4" t="n">
        <v>11</v>
      </c>
      <c r="G78" s="4" t="s">
        <v>109</v>
      </c>
      <c r="H78" s="4" t="n">
        <v>1</v>
      </c>
      <c r="I78" s="4" t="n">
        <v>0</v>
      </c>
      <c r="J78" s="22" t="n">
        <f aca="false">IF(ISNUMBER(SEARCH("hour",E78)),INT($J$1-VALUE(LEFT(E78,FIND(" ",E78)-1))/24),IF(ISNUMBER(SEARCH("day",E78)),$J$1-VALUE(LEFT(E78,FIND(" ",E78)-1)),DATE(2000+VALUE(RIGHT(E78,2)),MATCH(MID(E78,FIND("-",E78)+1,3),{"Jan","Feb","Mar","Apr","May","Jun","Jul","Aug","Sep","Oct","Nov","Dec"},0),VALUE(LEFT(E78,FIND("-",E78)-1)))))</f>
        <v>46192</v>
      </c>
      <c r="K78" s="1" t="n">
        <f aca="false">YEAR(J78)*100+MONTH(J78)</f>
        <v>202606</v>
      </c>
      <c r="L78" s="1" t="n">
        <f aca="false">IF(OR(ISNUMBER(SEARCH("stock",C78)),ISNUMBER(SEARCH("forecast",C78)),ISNUMBER(SEARCH("earnings",C78)),ISNUMBER(SEARCH("ipo ",C78&amp;" ")),ISNUMBER(SEARCH("ipo,",C78)),ISNUMBER(SEARCH("lockup",C78)),ISNUMBER(SEARCH("price",C78)),ISNUMBER(SEARCH("mstr",C78)),ISNUMBER(SEARCH("tsm",C78)),ISNUMBER(SEARCH("nvda",C78)),ISNUMBER(SEARCH(" vs ",C78))),1,0)</f>
        <v>0</v>
      </c>
    </row>
    <row r="79" customFormat="false" ht="15" hidden="false" customHeight="true" outlineLevel="0" collapsed="false">
      <c r="A79" s="4" t="s">
        <v>295</v>
      </c>
      <c r="B79" s="4" t="s">
        <v>10</v>
      </c>
      <c r="C79" s="4" t="s">
        <v>296</v>
      </c>
      <c r="D79" s="4" t="s">
        <v>211</v>
      </c>
      <c r="E79" s="4" t="s">
        <v>297</v>
      </c>
      <c r="F79" s="4" t="n">
        <v>11</v>
      </c>
      <c r="G79" s="4" t="s">
        <v>102</v>
      </c>
      <c r="H79" s="4" t="n">
        <v>0</v>
      </c>
      <c r="I79" s="4" t="n">
        <v>1</v>
      </c>
      <c r="J79" s="22" t="n">
        <f aca="false">IF(ISNUMBER(SEARCH("hour",E79)),INT($J$1-VALUE(LEFT(E79,FIND(" ",E79)-1))/24),IF(ISNUMBER(SEARCH("day",E79)),$J$1-VALUE(LEFT(E79,FIND(" ",E79)-1)),DATE(2000+VALUE(RIGHT(E79,2)),MATCH(MID(E79,FIND("-",E79)+1,3),{"Jan","Feb","Mar","Apr","May","Jun","Jul","Aug","Sep","Oct","Nov","Dec"},0),VALUE(LEFT(E79,FIND("-",E79)-1)))))</f>
        <v>46170</v>
      </c>
      <c r="K79" s="1" t="n">
        <f aca="false">YEAR(J79)*100+MONTH(J79)</f>
        <v>202605</v>
      </c>
      <c r="L79" s="1" t="n">
        <f aca="false">IF(OR(ISNUMBER(SEARCH("stock",C79)),ISNUMBER(SEARCH("forecast",C79)),ISNUMBER(SEARCH("earnings",C79)),ISNUMBER(SEARCH("ipo ",C79&amp;" ")),ISNUMBER(SEARCH("ipo,",C79)),ISNUMBER(SEARCH("lockup",C79)),ISNUMBER(SEARCH("price",C79)),ISNUMBER(SEARCH("mstr",C79)),ISNUMBER(SEARCH("tsm",C79)),ISNUMBER(SEARCH("nvda",C79)),ISNUMBER(SEARCH(" vs ",C79))),1,0)</f>
        <v>0</v>
      </c>
    </row>
    <row r="80" customFormat="false" ht="15" hidden="false" customHeight="true" outlineLevel="0" collapsed="false">
      <c r="A80" s="4" t="s">
        <v>298</v>
      </c>
      <c r="B80" s="4" t="s">
        <v>10</v>
      </c>
      <c r="C80" s="4" t="s">
        <v>299</v>
      </c>
      <c r="D80" s="4" t="s">
        <v>116</v>
      </c>
      <c r="E80" s="4" t="s">
        <v>300</v>
      </c>
      <c r="F80" s="4" t="n">
        <v>9</v>
      </c>
      <c r="G80" s="4" t="s">
        <v>102</v>
      </c>
      <c r="H80" s="4" t="n">
        <v>1</v>
      </c>
      <c r="I80" s="4" t="n">
        <v>0</v>
      </c>
      <c r="J80" s="22" t="n">
        <f aca="false">IF(ISNUMBER(SEARCH("hour",E80)),INT($J$1-VALUE(LEFT(E80,FIND(" ",E80)-1))/24),IF(ISNUMBER(SEARCH("day",E80)),$J$1-VALUE(LEFT(E80,FIND(" ",E80)-1)),DATE(2000+VALUE(RIGHT(E80,2)),MATCH(MID(E80,FIND("-",E80)+1,3),{"Jan","Feb","Mar","Apr","May","Jun","Jul","Aug","Sep","Oct","Nov","Dec"},0),VALUE(LEFT(E80,FIND("-",E80)-1)))))</f>
        <v>46160</v>
      </c>
      <c r="K80" s="1" t="n">
        <f aca="false">YEAR(J80)*100+MONTH(J80)</f>
        <v>202605</v>
      </c>
      <c r="L80" s="1" t="n">
        <f aca="false">IF(OR(ISNUMBER(SEARCH("stock",C80)),ISNUMBER(SEARCH("forecast",C80)),ISNUMBER(SEARCH("earnings",C80)),ISNUMBER(SEARCH("ipo ",C80&amp;" ")),ISNUMBER(SEARCH("ipo,",C80)),ISNUMBER(SEARCH("lockup",C80)),ISNUMBER(SEARCH("price",C80)),ISNUMBER(SEARCH("mstr",C80)),ISNUMBER(SEARCH("tsm",C80)),ISNUMBER(SEARCH("nvda",C80)),ISNUMBER(SEARCH(" vs ",C80))),1,0)</f>
        <v>0</v>
      </c>
    </row>
    <row r="81" customFormat="false" ht="15" hidden="false" customHeight="true" outlineLevel="0" collapsed="false">
      <c r="A81" s="4" t="s">
        <v>301</v>
      </c>
      <c r="B81" s="4" t="s">
        <v>10</v>
      </c>
      <c r="C81" s="4" t="s">
        <v>302</v>
      </c>
      <c r="D81" s="4" t="s">
        <v>116</v>
      </c>
      <c r="E81" s="4" t="s">
        <v>303</v>
      </c>
      <c r="F81" s="4" t="n">
        <v>10</v>
      </c>
      <c r="G81" s="4" t="s">
        <v>102</v>
      </c>
      <c r="H81" s="4" t="n">
        <v>1</v>
      </c>
      <c r="I81" s="4" t="n">
        <v>1</v>
      </c>
      <c r="J81" s="22" t="n">
        <f aca="false">IF(ISNUMBER(SEARCH("hour",E81)),INT($J$1-VALUE(LEFT(E81,FIND(" ",E81)-1))/24),IF(ISNUMBER(SEARCH("day",E81)),$J$1-VALUE(LEFT(E81,FIND(" ",E81)-1)),DATE(2000+VALUE(RIGHT(E81,2)),MATCH(MID(E81,FIND("-",E81)+1,3),{"Jan","Feb","Mar","Apr","May","Jun","Jul","Aug","Sep","Oct","Nov","Dec"},0),VALUE(LEFT(E81,FIND("-",E81)-1)))))</f>
        <v>46158</v>
      </c>
      <c r="K81" s="1" t="n">
        <f aca="false">YEAR(J81)*100+MONTH(J81)</f>
        <v>202605</v>
      </c>
      <c r="L81" s="1" t="n">
        <f aca="false">IF(OR(ISNUMBER(SEARCH("stock",C81)),ISNUMBER(SEARCH("forecast",C81)),ISNUMBER(SEARCH("earnings",C81)),ISNUMBER(SEARCH("ipo ",C81&amp;" ")),ISNUMBER(SEARCH("ipo,",C81)),ISNUMBER(SEARCH("lockup",C81)),ISNUMBER(SEARCH("price",C81)),ISNUMBER(SEARCH("mstr",C81)),ISNUMBER(SEARCH("tsm",C81)),ISNUMBER(SEARCH("nvda",C81)),ISNUMBER(SEARCH(" vs ",C81))),1,0)</f>
        <v>0</v>
      </c>
    </row>
    <row r="82" customFormat="false" ht="15" hidden="false" customHeight="true" outlineLevel="0" collapsed="false">
      <c r="A82" s="4" t="s">
        <v>304</v>
      </c>
      <c r="B82" s="4" t="s">
        <v>10</v>
      </c>
      <c r="C82" s="4" t="s">
        <v>305</v>
      </c>
      <c r="D82" s="4" t="s">
        <v>100</v>
      </c>
      <c r="E82" s="4" t="s">
        <v>247</v>
      </c>
      <c r="F82" s="4" t="n">
        <v>8</v>
      </c>
      <c r="G82" s="4" t="s">
        <v>102</v>
      </c>
      <c r="H82" s="4" t="n">
        <v>1</v>
      </c>
      <c r="I82" s="4" t="n">
        <v>0</v>
      </c>
      <c r="J82" s="22" t="n">
        <f aca="false">IF(ISNUMBER(SEARCH("hour",E82)),INT($J$1-VALUE(LEFT(E82,FIND(" ",E82)-1))/24),IF(ISNUMBER(SEARCH("day",E82)),$J$1-VALUE(LEFT(E82,FIND(" ",E82)-1)),DATE(2000+VALUE(RIGHT(E82,2)),MATCH(MID(E82,FIND("-",E82)+1,3),{"Jan","Feb","Mar","Apr","May","Jun","Jul","Aug","Sep","Oct","Nov","Dec"},0),VALUE(LEFT(E82,FIND("-",E82)-1)))))</f>
        <v>46156</v>
      </c>
      <c r="K82" s="1" t="n">
        <f aca="false">YEAR(J82)*100+MONTH(J82)</f>
        <v>202605</v>
      </c>
      <c r="L82" s="1" t="n">
        <f aca="false">IF(OR(ISNUMBER(SEARCH("stock",C82)),ISNUMBER(SEARCH("forecast",C82)),ISNUMBER(SEARCH("earnings",C82)),ISNUMBER(SEARCH("ipo ",C82&amp;" ")),ISNUMBER(SEARCH("ipo,",C82)),ISNUMBER(SEARCH("lockup",C82)),ISNUMBER(SEARCH("price",C82)),ISNUMBER(SEARCH("mstr",C82)),ISNUMBER(SEARCH("tsm",C82)),ISNUMBER(SEARCH("nvda",C82)),ISNUMBER(SEARCH(" vs ",C82))),1,0)</f>
        <v>1</v>
      </c>
    </row>
    <row r="83" customFormat="false" ht="15" hidden="false" customHeight="true" outlineLevel="0" collapsed="false">
      <c r="A83" s="4" t="s">
        <v>306</v>
      </c>
      <c r="B83" s="4" t="s">
        <v>10</v>
      </c>
      <c r="C83" s="4" t="s">
        <v>307</v>
      </c>
      <c r="D83" s="4" t="s">
        <v>95</v>
      </c>
      <c r="E83" s="4" t="s">
        <v>308</v>
      </c>
      <c r="F83" s="4" t="n">
        <v>8</v>
      </c>
      <c r="G83" s="4" t="s">
        <v>102</v>
      </c>
      <c r="H83" s="4" t="n">
        <v>0</v>
      </c>
      <c r="I83" s="4" t="n">
        <v>0</v>
      </c>
      <c r="J83" s="22" t="n">
        <f aca="false">IF(ISNUMBER(SEARCH("hour",E83)),INT($J$1-VALUE(LEFT(E83,FIND(" ",E83)-1))/24),IF(ISNUMBER(SEARCH("day",E83)),$J$1-VALUE(LEFT(E83,FIND(" ",E83)-1)),DATE(2000+VALUE(RIGHT(E83,2)),MATCH(MID(E83,FIND("-",E83)+1,3),{"Jan","Feb","Mar","Apr","May","Jun","Jul","Aug","Sep","Oct","Nov","Dec"},0),VALUE(LEFT(E83,FIND("-",E83)-1)))))</f>
        <v>46151</v>
      </c>
      <c r="K83" s="1" t="n">
        <f aca="false">YEAR(J83)*100+MONTH(J83)</f>
        <v>202605</v>
      </c>
      <c r="L83" s="1" t="n">
        <f aca="false">IF(OR(ISNUMBER(SEARCH("stock",C83)),ISNUMBER(SEARCH("forecast",C83)),ISNUMBER(SEARCH("earnings",C83)),ISNUMBER(SEARCH("ipo ",C83&amp;" ")),ISNUMBER(SEARCH("ipo,",C83)),ISNUMBER(SEARCH("lockup",C83)),ISNUMBER(SEARCH("price",C83)),ISNUMBER(SEARCH("mstr",C83)),ISNUMBER(SEARCH("tsm",C83)),ISNUMBER(SEARCH("nvda",C83)),ISNUMBER(SEARCH(" vs ",C83))),1,0)</f>
        <v>0</v>
      </c>
    </row>
    <row r="84" customFormat="false" ht="15" hidden="false" customHeight="true" outlineLevel="0" collapsed="false">
      <c r="A84" s="4" t="s">
        <v>309</v>
      </c>
      <c r="B84" s="4" t="s">
        <v>9</v>
      </c>
      <c r="C84" s="4" t="s">
        <v>310</v>
      </c>
      <c r="D84" s="4" t="s">
        <v>116</v>
      </c>
      <c r="E84" s="4" t="s">
        <v>123</v>
      </c>
      <c r="F84" s="4" t="n">
        <v>10</v>
      </c>
      <c r="G84" s="4" t="s">
        <v>109</v>
      </c>
      <c r="H84" s="4" t="n">
        <v>1</v>
      </c>
      <c r="I84" s="4" t="n">
        <v>1</v>
      </c>
      <c r="J84" s="22" t="n">
        <f aca="false">IF(ISNUMBER(SEARCH("hour",E84)),INT($J$1-VALUE(LEFT(E84,FIND(" ",E84)-1))/24),IF(ISNUMBER(SEARCH("day",E84)),$J$1-VALUE(LEFT(E84,FIND(" ",E84)-1)),DATE(2000+VALUE(RIGHT(E84,2)),MATCH(MID(E84,FIND("-",E84)+1,3),{"Jan","Feb","Mar","Apr","May","Jun","Jul","Aug","Sep","Oct","Nov","Dec"},0),VALUE(LEFT(E84,FIND("-",E84)-1)))))</f>
        <v>46291</v>
      </c>
      <c r="K84" s="1" t="n">
        <f aca="false">YEAR(J84)*100+MONTH(J84)</f>
        <v>202609</v>
      </c>
      <c r="L84" s="1" t="n">
        <f aca="false">IF(OR(ISNUMBER(SEARCH("stock",C84)),ISNUMBER(SEARCH("forecast",C84)),ISNUMBER(SEARCH("earnings",C84)),ISNUMBER(SEARCH("ipo ",C84&amp;" ")),ISNUMBER(SEARCH("ipo,",C84)),ISNUMBER(SEARCH("lockup",C84)),ISNUMBER(SEARCH("price",C84)),ISNUMBER(SEARCH("mstr",C84)),ISNUMBER(SEARCH("tsm",C84)),ISNUMBER(SEARCH("nvda",C84)),ISNUMBER(SEARCH(" vs ",C84))),1,0)</f>
        <v>0</v>
      </c>
    </row>
    <row r="85" customFormat="false" ht="15" hidden="false" customHeight="true" outlineLevel="0" collapsed="false">
      <c r="A85" s="4" t="s">
        <v>311</v>
      </c>
      <c r="B85" s="4" t="s">
        <v>9</v>
      </c>
      <c r="C85" s="4" t="s">
        <v>312</v>
      </c>
      <c r="D85" s="4" t="s">
        <v>116</v>
      </c>
      <c r="E85" s="4" t="s">
        <v>133</v>
      </c>
      <c r="F85" s="4" t="n">
        <v>11</v>
      </c>
      <c r="G85" s="4" t="s">
        <v>109</v>
      </c>
      <c r="H85" s="4" t="n">
        <v>1</v>
      </c>
      <c r="I85" s="4" t="n">
        <v>0</v>
      </c>
      <c r="J85" s="22" t="n">
        <f aca="false">IF(ISNUMBER(SEARCH("hour",E85)),INT($J$1-VALUE(LEFT(E85,FIND(" ",E85)-1))/24),IF(ISNUMBER(SEARCH("day",E85)),$J$1-VALUE(LEFT(E85,FIND(" ",E85)-1)),DATE(2000+VALUE(RIGHT(E85,2)),MATCH(MID(E85,FIND("-",E85)+1,3),{"Jan","Feb","Mar","Apr","May","Jun","Jul","Aug","Sep","Oct","Nov","Dec"},0),VALUE(LEFT(E85,FIND("-",E85)-1)))))</f>
        <v>46288</v>
      </c>
      <c r="K85" s="1" t="n">
        <f aca="false">YEAR(J85)*100+MONTH(J85)</f>
        <v>202609</v>
      </c>
      <c r="L85" s="1" t="n">
        <f aca="false">IF(OR(ISNUMBER(SEARCH("stock",C85)),ISNUMBER(SEARCH("forecast",C85)),ISNUMBER(SEARCH("earnings",C85)),ISNUMBER(SEARCH("ipo ",C85&amp;" ")),ISNUMBER(SEARCH("ipo,",C85)),ISNUMBER(SEARCH("lockup",C85)),ISNUMBER(SEARCH("price",C85)),ISNUMBER(SEARCH("mstr",C85)),ISNUMBER(SEARCH("tsm",C85)),ISNUMBER(SEARCH("nvda",C85)),ISNUMBER(SEARCH(" vs ",C85))),1,0)</f>
        <v>1</v>
      </c>
    </row>
    <row r="86" customFormat="false" ht="15" hidden="false" customHeight="true" outlineLevel="0" collapsed="false">
      <c r="A86" s="4" t="s">
        <v>313</v>
      </c>
      <c r="B86" s="4" t="s">
        <v>9</v>
      </c>
      <c r="C86" s="4" t="s">
        <v>314</v>
      </c>
      <c r="D86" s="4" t="s">
        <v>315</v>
      </c>
      <c r="E86" s="4" t="s">
        <v>149</v>
      </c>
      <c r="F86" s="4" t="n">
        <v>10</v>
      </c>
      <c r="G86" s="4" t="s">
        <v>109</v>
      </c>
      <c r="H86" s="4" t="n">
        <v>1</v>
      </c>
      <c r="I86" s="4" t="n">
        <v>0</v>
      </c>
      <c r="J86" s="22" t="n">
        <f aca="false">IF(ISNUMBER(SEARCH("hour",E86)),INT($J$1-VALUE(LEFT(E86,FIND(" ",E86)-1))/24),IF(ISNUMBER(SEARCH("day",E86)),$J$1-VALUE(LEFT(E86,FIND(" ",E86)-1)),DATE(2000+VALUE(RIGHT(E86,2)),MATCH(MID(E86,FIND("-",E86)+1,3),{"Jan","Feb","Mar","Apr","May","Jun","Jul","Aug","Sep","Oct","Nov","Dec"},0),VALUE(LEFT(E86,FIND("-",E86)-1)))))</f>
        <v>46286</v>
      </c>
      <c r="K86" s="1" t="n">
        <f aca="false">YEAR(J86)*100+MONTH(J86)</f>
        <v>202609</v>
      </c>
      <c r="L86" s="1" t="n">
        <f aca="false">IF(OR(ISNUMBER(SEARCH("stock",C86)),ISNUMBER(SEARCH("forecast",C86)),ISNUMBER(SEARCH("earnings",C86)),ISNUMBER(SEARCH("ipo ",C86&amp;" ")),ISNUMBER(SEARCH("ipo,",C86)),ISNUMBER(SEARCH("lockup",C86)),ISNUMBER(SEARCH("price",C86)),ISNUMBER(SEARCH("mstr",C86)),ISNUMBER(SEARCH("tsm",C86)),ISNUMBER(SEARCH("nvda",C86)),ISNUMBER(SEARCH(" vs ",C86))),1,0)</f>
        <v>1</v>
      </c>
    </row>
    <row r="87" customFormat="false" ht="15" hidden="false" customHeight="true" outlineLevel="0" collapsed="false">
      <c r="A87" s="4" t="s">
        <v>316</v>
      </c>
      <c r="B87" s="4" t="s">
        <v>9</v>
      </c>
      <c r="C87" s="4" t="s">
        <v>317</v>
      </c>
      <c r="D87" s="4" t="s">
        <v>116</v>
      </c>
      <c r="E87" s="4" t="s">
        <v>318</v>
      </c>
      <c r="F87" s="4" t="n">
        <v>8</v>
      </c>
      <c r="G87" s="4" t="s">
        <v>102</v>
      </c>
      <c r="H87" s="4" t="n">
        <v>1</v>
      </c>
      <c r="I87" s="4" t="n">
        <v>0</v>
      </c>
      <c r="J87" s="22" t="n">
        <f aca="false">IF(ISNUMBER(SEARCH("hour",E87)),INT($J$1-VALUE(LEFT(E87,FIND(" ",E87)-1))/24),IF(ISNUMBER(SEARCH("day",E87)),$J$1-VALUE(LEFT(E87,FIND(" ",E87)-1)),DATE(2000+VALUE(RIGHT(E87,2)),MATCH(MID(E87,FIND("-",E87)+1,3),{"Jan","Feb","Mar","Apr","May","Jun","Jul","Aug","Sep","Oct","Nov","Dec"},0),VALUE(LEFT(E87,FIND("-",E87)-1)))))</f>
        <v>46285</v>
      </c>
      <c r="K87" s="1" t="n">
        <f aca="false">YEAR(J87)*100+MONTH(J87)</f>
        <v>202609</v>
      </c>
      <c r="L87" s="1" t="n">
        <f aca="false">IF(OR(ISNUMBER(SEARCH("stock",C87)),ISNUMBER(SEARCH("forecast",C87)),ISNUMBER(SEARCH("earnings",C87)),ISNUMBER(SEARCH("ipo ",C87&amp;" ")),ISNUMBER(SEARCH("ipo,",C87)),ISNUMBER(SEARCH("lockup",C87)),ISNUMBER(SEARCH("price",C87)),ISNUMBER(SEARCH("mstr",C87)),ISNUMBER(SEARCH("tsm",C87)),ISNUMBER(SEARCH("nvda",C87)),ISNUMBER(SEARCH(" vs ",C87))),1,0)</f>
        <v>0</v>
      </c>
    </row>
    <row r="88" customFormat="false" ht="15" hidden="false" customHeight="true" outlineLevel="0" collapsed="false">
      <c r="A88" s="4" t="s">
        <v>319</v>
      </c>
      <c r="B88" s="4" t="s">
        <v>9</v>
      </c>
      <c r="C88" s="4" t="s">
        <v>320</v>
      </c>
      <c r="D88" s="4" t="s">
        <v>100</v>
      </c>
      <c r="E88" s="4" t="s">
        <v>169</v>
      </c>
      <c r="F88" s="4" t="n">
        <v>11</v>
      </c>
      <c r="G88" s="4" t="s">
        <v>109</v>
      </c>
      <c r="H88" s="4" t="n">
        <v>0</v>
      </c>
      <c r="I88" s="4" t="n">
        <v>1</v>
      </c>
      <c r="J88" s="22" t="n">
        <f aca="false">IF(ISNUMBER(SEARCH("hour",E88)),INT($J$1-VALUE(LEFT(E88,FIND(" ",E88)-1))/24),IF(ISNUMBER(SEARCH("day",E88)),$J$1-VALUE(LEFT(E88,FIND(" ",E88)-1)),DATE(2000+VALUE(RIGHT(E88,2)),MATCH(MID(E88,FIND("-",E88)+1,3),{"Jan","Feb","Mar","Apr","May","Jun","Jul","Aug","Sep","Oct","Nov","Dec"},0),VALUE(LEFT(E88,FIND("-",E88)-1)))))</f>
        <v>46244</v>
      </c>
      <c r="K88" s="1" t="n">
        <f aca="false">YEAR(J88)*100+MONTH(J88)</f>
        <v>202608</v>
      </c>
      <c r="L88" s="1" t="n">
        <f aca="false">IF(OR(ISNUMBER(SEARCH("stock",C88)),ISNUMBER(SEARCH("forecast",C88)),ISNUMBER(SEARCH("earnings",C88)),ISNUMBER(SEARCH("ipo ",C88&amp;" ")),ISNUMBER(SEARCH("ipo,",C88)),ISNUMBER(SEARCH("lockup",C88)),ISNUMBER(SEARCH("price",C88)),ISNUMBER(SEARCH("mstr",C88)),ISNUMBER(SEARCH("tsm",C88)),ISNUMBER(SEARCH("nvda",C88)),ISNUMBER(SEARCH(" vs ",C88))),1,0)</f>
        <v>0</v>
      </c>
    </row>
    <row r="89" customFormat="false" ht="15" hidden="false" customHeight="true" outlineLevel="0" collapsed="false">
      <c r="A89" s="4" t="s">
        <v>321</v>
      </c>
      <c r="B89" s="4" t="s">
        <v>9</v>
      </c>
      <c r="C89" s="4" t="s">
        <v>322</v>
      </c>
      <c r="D89" s="4" t="s">
        <v>112</v>
      </c>
      <c r="E89" s="4" t="s">
        <v>221</v>
      </c>
      <c r="F89" s="4" t="n">
        <v>9</v>
      </c>
      <c r="G89" s="4" t="s">
        <v>109</v>
      </c>
      <c r="H89" s="4" t="n">
        <v>1</v>
      </c>
      <c r="I89" s="4" t="n">
        <v>1</v>
      </c>
      <c r="J89" s="22" t="n">
        <f aca="false">IF(ISNUMBER(SEARCH("hour",E89)),INT($J$1-VALUE(LEFT(E89,FIND(" ",E89)-1))/24),IF(ISNUMBER(SEARCH("day",E89)),$J$1-VALUE(LEFT(E89,FIND(" ",E89)-1)),DATE(2000+VALUE(RIGHT(E89,2)),MATCH(MID(E89,FIND("-",E89)+1,3),{"Jan","Feb","Mar","Apr","May","Jun","Jul","Aug","Sep","Oct","Nov","Dec"},0),VALUE(LEFT(E89,FIND("-",E89)-1)))))</f>
        <v>46243</v>
      </c>
      <c r="K89" s="1" t="n">
        <f aca="false">YEAR(J89)*100+MONTH(J89)</f>
        <v>202608</v>
      </c>
      <c r="L89" s="1" t="n">
        <f aca="false">IF(OR(ISNUMBER(SEARCH("stock",C89)),ISNUMBER(SEARCH("forecast",C89)),ISNUMBER(SEARCH("earnings",C89)),ISNUMBER(SEARCH("ipo ",C89&amp;" ")),ISNUMBER(SEARCH("ipo,",C89)),ISNUMBER(SEARCH("lockup",C89)),ISNUMBER(SEARCH("price",C89)),ISNUMBER(SEARCH("mstr",C89)),ISNUMBER(SEARCH("tsm",C89)),ISNUMBER(SEARCH("nvda",C89)),ISNUMBER(SEARCH(" vs ",C89))),1,0)</f>
        <v>0</v>
      </c>
    </row>
    <row r="90" customFormat="false" ht="15" hidden="false" customHeight="true" outlineLevel="0" collapsed="false">
      <c r="A90" s="4" t="s">
        <v>323</v>
      </c>
      <c r="B90" s="4" t="s">
        <v>9</v>
      </c>
      <c r="C90" s="4" t="s">
        <v>324</v>
      </c>
      <c r="D90" s="4" t="s">
        <v>108</v>
      </c>
      <c r="E90" s="4" t="s">
        <v>221</v>
      </c>
      <c r="F90" s="4" t="n">
        <v>11</v>
      </c>
      <c r="G90" s="4" t="s">
        <v>109</v>
      </c>
      <c r="H90" s="4" t="n">
        <v>0</v>
      </c>
      <c r="I90" s="4" t="n">
        <v>0</v>
      </c>
      <c r="J90" s="22" t="n">
        <f aca="false">IF(ISNUMBER(SEARCH("hour",E90)),INT($J$1-VALUE(LEFT(E90,FIND(" ",E90)-1))/24),IF(ISNUMBER(SEARCH("day",E90)),$J$1-VALUE(LEFT(E90,FIND(" ",E90)-1)),DATE(2000+VALUE(RIGHT(E90,2)),MATCH(MID(E90,FIND("-",E90)+1,3),{"Jan","Feb","Mar","Apr","May","Jun","Jul","Aug","Sep","Oct","Nov","Dec"},0),VALUE(LEFT(E90,FIND("-",E90)-1)))))</f>
        <v>46243</v>
      </c>
      <c r="K90" s="1" t="n">
        <f aca="false">YEAR(J90)*100+MONTH(J90)</f>
        <v>202608</v>
      </c>
      <c r="L90" s="1" t="n">
        <f aca="false">IF(OR(ISNUMBER(SEARCH("stock",C90)),ISNUMBER(SEARCH("forecast",C90)),ISNUMBER(SEARCH("earnings",C90)),ISNUMBER(SEARCH("ipo ",C90&amp;" ")),ISNUMBER(SEARCH("ipo,",C90)),ISNUMBER(SEARCH("lockup",C90)),ISNUMBER(SEARCH("price",C90)),ISNUMBER(SEARCH("mstr",C90)),ISNUMBER(SEARCH("tsm",C90)),ISNUMBER(SEARCH("nvda",C90)),ISNUMBER(SEARCH(" vs ",C90))),1,0)</f>
        <v>0</v>
      </c>
    </row>
    <row r="91" customFormat="false" ht="15" hidden="false" customHeight="true" outlineLevel="0" collapsed="false">
      <c r="A91" s="4" t="s">
        <v>325</v>
      </c>
      <c r="B91" s="4" t="s">
        <v>9</v>
      </c>
      <c r="C91" s="4" t="s">
        <v>326</v>
      </c>
      <c r="D91" s="4" t="s">
        <v>112</v>
      </c>
      <c r="E91" s="4" t="s">
        <v>221</v>
      </c>
      <c r="F91" s="4" t="n">
        <v>12</v>
      </c>
      <c r="G91" s="4" t="s">
        <v>109</v>
      </c>
      <c r="H91" s="4" t="n">
        <v>1</v>
      </c>
      <c r="I91" s="4" t="n">
        <v>1</v>
      </c>
      <c r="J91" s="22" t="n">
        <f aca="false">IF(ISNUMBER(SEARCH("hour",E91)),INT($J$1-VALUE(LEFT(E91,FIND(" ",E91)-1))/24),IF(ISNUMBER(SEARCH("day",E91)),$J$1-VALUE(LEFT(E91,FIND(" ",E91)-1)),DATE(2000+VALUE(RIGHT(E91,2)),MATCH(MID(E91,FIND("-",E91)+1,3),{"Jan","Feb","Mar","Apr","May","Jun","Jul","Aug","Sep","Oct","Nov","Dec"},0),VALUE(LEFT(E91,FIND("-",E91)-1)))))</f>
        <v>46243</v>
      </c>
      <c r="K91" s="1" t="n">
        <f aca="false">YEAR(J91)*100+MONTH(J91)</f>
        <v>202608</v>
      </c>
      <c r="L91" s="1" t="n">
        <f aca="false">IF(OR(ISNUMBER(SEARCH("stock",C91)),ISNUMBER(SEARCH("forecast",C91)),ISNUMBER(SEARCH("earnings",C91)),ISNUMBER(SEARCH("ipo ",C91&amp;" ")),ISNUMBER(SEARCH("ipo,",C91)),ISNUMBER(SEARCH("lockup",C91)),ISNUMBER(SEARCH("price",C91)),ISNUMBER(SEARCH("mstr",C91)),ISNUMBER(SEARCH("tsm",C91)),ISNUMBER(SEARCH("nvda",C91)),ISNUMBER(SEARCH(" vs ",C91))),1,0)</f>
        <v>0</v>
      </c>
    </row>
    <row r="92" customFormat="false" ht="15" hidden="false" customHeight="true" outlineLevel="0" collapsed="false">
      <c r="A92" s="4" t="s">
        <v>327</v>
      </c>
      <c r="B92" s="4" t="s">
        <v>9</v>
      </c>
      <c r="C92" s="4" t="s">
        <v>328</v>
      </c>
      <c r="D92" s="4" t="s">
        <v>112</v>
      </c>
      <c r="E92" s="4" t="s">
        <v>274</v>
      </c>
      <c r="F92" s="4" t="n">
        <v>9</v>
      </c>
      <c r="G92" s="4" t="s">
        <v>109</v>
      </c>
      <c r="H92" s="4" t="n">
        <v>1</v>
      </c>
      <c r="I92" s="4" t="n">
        <v>0</v>
      </c>
      <c r="J92" s="22" t="n">
        <f aca="false">IF(ISNUMBER(SEARCH("hour",E92)),INT($J$1-VALUE(LEFT(E92,FIND(" ",E92)-1))/24),IF(ISNUMBER(SEARCH("day",E92)),$J$1-VALUE(LEFT(E92,FIND(" ",E92)-1)),DATE(2000+VALUE(RIGHT(E92,2)),MATCH(MID(E92,FIND("-",E92)+1,3),{"Jan","Feb","Mar","Apr","May","Jun","Jul","Aug","Sep","Oct","Nov","Dec"},0),VALUE(LEFT(E92,FIND("-",E92)-1)))))</f>
        <v>46228</v>
      </c>
      <c r="K92" s="1" t="n">
        <f aca="false">YEAR(J92)*100+MONTH(J92)</f>
        <v>202607</v>
      </c>
      <c r="L92" s="1" t="n">
        <f aca="false">IF(OR(ISNUMBER(SEARCH("stock",C92)),ISNUMBER(SEARCH("forecast",C92)),ISNUMBER(SEARCH("earnings",C92)),ISNUMBER(SEARCH("ipo ",C92&amp;" ")),ISNUMBER(SEARCH("ipo,",C92)),ISNUMBER(SEARCH("lockup",C92)),ISNUMBER(SEARCH("price",C92)),ISNUMBER(SEARCH("mstr",C92)),ISNUMBER(SEARCH("tsm",C92)),ISNUMBER(SEARCH("nvda",C92)),ISNUMBER(SEARCH(" vs ",C92))),1,0)</f>
        <v>0</v>
      </c>
    </row>
    <row r="93" customFormat="false" ht="15" hidden="false" customHeight="true" outlineLevel="0" collapsed="false">
      <c r="A93" s="4" t="s">
        <v>329</v>
      </c>
      <c r="B93" s="4" t="s">
        <v>9</v>
      </c>
      <c r="C93" s="4" t="s">
        <v>330</v>
      </c>
      <c r="D93" s="4" t="s">
        <v>100</v>
      </c>
      <c r="E93" s="4" t="s">
        <v>274</v>
      </c>
      <c r="F93" s="4" t="n">
        <v>10</v>
      </c>
      <c r="G93" s="4" t="s">
        <v>102</v>
      </c>
      <c r="H93" s="4" t="n">
        <v>0</v>
      </c>
      <c r="I93" s="4" t="n">
        <v>1</v>
      </c>
      <c r="J93" s="22" t="n">
        <f aca="false">IF(ISNUMBER(SEARCH("hour",E93)),INT($J$1-VALUE(LEFT(E93,FIND(" ",E93)-1))/24),IF(ISNUMBER(SEARCH("day",E93)),$J$1-VALUE(LEFT(E93,FIND(" ",E93)-1)),DATE(2000+VALUE(RIGHT(E93,2)),MATCH(MID(E93,FIND("-",E93)+1,3),{"Jan","Feb","Mar","Apr","May","Jun","Jul","Aug","Sep","Oct","Nov","Dec"},0),VALUE(LEFT(E93,FIND("-",E93)-1)))))</f>
        <v>46228</v>
      </c>
      <c r="K93" s="1" t="n">
        <f aca="false">YEAR(J93)*100+MONTH(J93)</f>
        <v>202607</v>
      </c>
      <c r="L93" s="1" t="n">
        <f aca="false">IF(OR(ISNUMBER(SEARCH("stock",C93)),ISNUMBER(SEARCH("forecast",C93)),ISNUMBER(SEARCH("earnings",C93)),ISNUMBER(SEARCH("ipo ",C93&amp;" ")),ISNUMBER(SEARCH("ipo,",C93)),ISNUMBER(SEARCH("lockup",C93)),ISNUMBER(SEARCH("price",C93)),ISNUMBER(SEARCH("mstr",C93)),ISNUMBER(SEARCH("tsm",C93)),ISNUMBER(SEARCH("nvda",C93)),ISNUMBER(SEARCH(" vs ",C93))),1,0)</f>
        <v>0</v>
      </c>
    </row>
    <row r="94" customFormat="false" ht="15" hidden="false" customHeight="true" outlineLevel="0" collapsed="false">
      <c r="A94" s="4" t="s">
        <v>331</v>
      </c>
      <c r="B94" s="4" t="s">
        <v>9</v>
      </c>
      <c r="C94" s="4" t="s">
        <v>332</v>
      </c>
      <c r="D94" s="4" t="s">
        <v>100</v>
      </c>
      <c r="E94" s="4" t="s">
        <v>274</v>
      </c>
      <c r="F94" s="4" t="n">
        <v>11</v>
      </c>
      <c r="G94" s="4" t="s">
        <v>109</v>
      </c>
      <c r="H94" s="4" t="n">
        <v>1</v>
      </c>
      <c r="I94" s="4" t="n">
        <v>1</v>
      </c>
      <c r="J94" s="22" t="n">
        <f aca="false">IF(ISNUMBER(SEARCH("hour",E94)),INT($J$1-VALUE(LEFT(E94,FIND(" ",E94)-1))/24),IF(ISNUMBER(SEARCH("day",E94)),$J$1-VALUE(LEFT(E94,FIND(" ",E94)-1)),DATE(2000+VALUE(RIGHT(E94,2)),MATCH(MID(E94,FIND("-",E94)+1,3),{"Jan","Feb","Mar","Apr","May","Jun","Jul","Aug","Sep","Oct","Nov","Dec"},0),VALUE(LEFT(E94,FIND("-",E94)-1)))))</f>
        <v>46228</v>
      </c>
      <c r="K94" s="1" t="n">
        <f aca="false">YEAR(J94)*100+MONTH(J94)</f>
        <v>202607</v>
      </c>
      <c r="L94" s="1" t="n">
        <f aca="false">IF(OR(ISNUMBER(SEARCH("stock",C94)),ISNUMBER(SEARCH("forecast",C94)),ISNUMBER(SEARCH("earnings",C94)),ISNUMBER(SEARCH("ipo ",C94&amp;" ")),ISNUMBER(SEARCH("ipo,",C94)),ISNUMBER(SEARCH("lockup",C94)),ISNUMBER(SEARCH("price",C94)),ISNUMBER(SEARCH("mstr",C94)),ISNUMBER(SEARCH("tsm",C94)),ISNUMBER(SEARCH("nvda",C94)),ISNUMBER(SEARCH(" vs ",C94))),1,0)</f>
        <v>0</v>
      </c>
    </row>
    <row r="95" customFormat="false" ht="15" hidden="false" customHeight="true" outlineLevel="0" collapsed="false">
      <c r="A95" s="4" t="s">
        <v>333</v>
      </c>
      <c r="B95" s="4" t="s">
        <v>9</v>
      </c>
      <c r="C95" s="4" t="s">
        <v>334</v>
      </c>
      <c r="D95" s="4" t="s">
        <v>108</v>
      </c>
      <c r="E95" s="4" t="s">
        <v>172</v>
      </c>
      <c r="F95" s="4" t="n">
        <v>12</v>
      </c>
      <c r="G95" s="4" t="s">
        <v>102</v>
      </c>
      <c r="H95" s="4" t="n">
        <v>1</v>
      </c>
      <c r="I95" s="4" t="n">
        <v>0</v>
      </c>
      <c r="J95" s="22" t="n">
        <f aca="false">IF(ISNUMBER(SEARCH("hour",E95)),INT($J$1-VALUE(LEFT(E95,FIND(" ",E95)-1))/24),IF(ISNUMBER(SEARCH("day",E95)),$J$1-VALUE(LEFT(E95,FIND(" ",E95)-1)),DATE(2000+VALUE(RIGHT(E95,2)),MATCH(MID(E95,FIND("-",E95)+1,3),{"Jan","Feb","Mar","Apr","May","Jun","Jul","Aug","Sep","Oct","Nov","Dec"},0),VALUE(LEFT(E95,FIND("-",E95)-1)))))</f>
        <v>46227</v>
      </c>
      <c r="K95" s="1" t="n">
        <f aca="false">YEAR(J95)*100+MONTH(J95)</f>
        <v>202607</v>
      </c>
      <c r="L95" s="1" t="n">
        <f aca="false">IF(OR(ISNUMBER(SEARCH("stock",C95)),ISNUMBER(SEARCH("forecast",C95)),ISNUMBER(SEARCH("earnings",C95)),ISNUMBER(SEARCH("ipo ",C95&amp;" ")),ISNUMBER(SEARCH("ipo,",C95)),ISNUMBER(SEARCH("lockup",C95)),ISNUMBER(SEARCH("price",C95)),ISNUMBER(SEARCH("mstr",C95)),ISNUMBER(SEARCH("tsm",C95)),ISNUMBER(SEARCH("nvda",C95)),ISNUMBER(SEARCH(" vs ",C95))),1,0)</f>
        <v>1</v>
      </c>
    </row>
    <row r="96" customFormat="false" ht="15" hidden="false" customHeight="true" outlineLevel="0" collapsed="false">
      <c r="A96" s="4" t="s">
        <v>335</v>
      </c>
      <c r="B96" s="4" t="s">
        <v>9</v>
      </c>
      <c r="C96" s="4" t="s">
        <v>336</v>
      </c>
      <c r="D96" s="4" t="s">
        <v>112</v>
      </c>
      <c r="E96" s="4" t="s">
        <v>172</v>
      </c>
      <c r="F96" s="4" t="n">
        <v>11</v>
      </c>
      <c r="G96" s="4" t="s">
        <v>109</v>
      </c>
      <c r="H96" s="4" t="n">
        <v>1</v>
      </c>
      <c r="I96" s="4" t="n">
        <v>0</v>
      </c>
      <c r="J96" s="22" t="n">
        <f aca="false">IF(ISNUMBER(SEARCH("hour",E96)),INT($J$1-VALUE(LEFT(E96,FIND(" ",E96)-1))/24),IF(ISNUMBER(SEARCH("day",E96)),$J$1-VALUE(LEFT(E96,FIND(" ",E96)-1)),DATE(2000+VALUE(RIGHT(E96,2)),MATCH(MID(E96,FIND("-",E96)+1,3),{"Jan","Feb","Mar","Apr","May","Jun","Jul","Aug","Sep","Oct","Nov","Dec"},0),VALUE(LEFT(E96,FIND("-",E96)-1)))))</f>
        <v>46227</v>
      </c>
      <c r="K96" s="1" t="n">
        <f aca="false">YEAR(J96)*100+MONTH(J96)</f>
        <v>202607</v>
      </c>
      <c r="L96" s="1" t="n">
        <f aca="false">IF(OR(ISNUMBER(SEARCH("stock",C96)),ISNUMBER(SEARCH("forecast",C96)),ISNUMBER(SEARCH("earnings",C96)),ISNUMBER(SEARCH("ipo ",C96&amp;" ")),ISNUMBER(SEARCH("ipo,",C96)),ISNUMBER(SEARCH("lockup",C96)),ISNUMBER(SEARCH("price",C96)),ISNUMBER(SEARCH("mstr",C96)),ISNUMBER(SEARCH("tsm",C96)),ISNUMBER(SEARCH("nvda",C96)),ISNUMBER(SEARCH(" vs ",C96))),1,0)</f>
        <v>0</v>
      </c>
    </row>
    <row r="97" customFormat="false" ht="15" hidden="false" customHeight="true" outlineLevel="0" collapsed="false">
      <c r="A97" s="4" t="s">
        <v>337</v>
      </c>
      <c r="B97" s="4" t="s">
        <v>9</v>
      </c>
      <c r="C97" s="4" t="s">
        <v>338</v>
      </c>
      <c r="D97" s="4" t="s">
        <v>112</v>
      </c>
      <c r="E97" s="4" t="s">
        <v>175</v>
      </c>
      <c r="F97" s="4" t="n">
        <v>12</v>
      </c>
      <c r="G97" s="4" t="s">
        <v>102</v>
      </c>
      <c r="H97" s="4" t="n">
        <v>1</v>
      </c>
      <c r="I97" s="4" t="n">
        <v>0</v>
      </c>
      <c r="J97" s="22" t="n">
        <f aca="false">IF(ISNUMBER(SEARCH("hour",E97)),INT($J$1-VALUE(LEFT(E97,FIND(" ",E97)-1))/24),IF(ISNUMBER(SEARCH("day",E97)),$J$1-VALUE(LEFT(E97,FIND(" ",E97)-1)),DATE(2000+VALUE(RIGHT(E97,2)),MATCH(MID(E97,FIND("-",E97)+1,3),{"Jan","Feb","Mar","Apr","May","Jun","Jul","Aug","Sep","Oct","Nov","Dec"},0),VALUE(LEFT(E97,FIND("-",E97)-1)))))</f>
        <v>46226</v>
      </c>
      <c r="K97" s="1" t="n">
        <f aca="false">YEAR(J97)*100+MONTH(J97)</f>
        <v>202607</v>
      </c>
      <c r="L97" s="1" t="n">
        <f aca="false">IF(OR(ISNUMBER(SEARCH("stock",C97)),ISNUMBER(SEARCH("forecast",C97)),ISNUMBER(SEARCH("earnings",C97)),ISNUMBER(SEARCH("ipo ",C97&amp;" ")),ISNUMBER(SEARCH("ipo,",C97)),ISNUMBER(SEARCH("lockup",C97)),ISNUMBER(SEARCH("price",C97)),ISNUMBER(SEARCH("mstr",C97)),ISNUMBER(SEARCH("tsm",C97)),ISNUMBER(SEARCH("nvda",C97)),ISNUMBER(SEARCH(" vs ",C97))),1,0)</f>
        <v>0</v>
      </c>
    </row>
    <row r="98" customFormat="false" ht="15" hidden="false" customHeight="true" outlineLevel="0" collapsed="false">
      <c r="A98" s="4" t="s">
        <v>339</v>
      </c>
      <c r="B98" s="4" t="s">
        <v>9</v>
      </c>
      <c r="C98" s="4" t="s">
        <v>340</v>
      </c>
      <c r="D98" s="4" t="s">
        <v>112</v>
      </c>
      <c r="E98" s="4" t="s">
        <v>175</v>
      </c>
      <c r="F98" s="4" t="n">
        <v>11</v>
      </c>
      <c r="G98" s="4" t="s">
        <v>102</v>
      </c>
      <c r="H98" s="4" t="n">
        <v>1</v>
      </c>
      <c r="I98" s="4" t="n">
        <v>1</v>
      </c>
      <c r="J98" s="22" t="n">
        <f aca="false">IF(ISNUMBER(SEARCH("hour",E98)),INT($J$1-VALUE(LEFT(E98,FIND(" ",E98)-1))/24),IF(ISNUMBER(SEARCH("day",E98)),$J$1-VALUE(LEFT(E98,FIND(" ",E98)-1)),DATE(2000+VALUE(RIGHT(E98,2)),MATCH(MID(E98,FIND("-",E98)+1,3),{"Jan","Feb","Mar","Apr","May","Jun","Jul","Aug","Sep","Oct","Nov","Dec"},0),VALUE(LEFT(E98,FIND("-",E98)-1)))))</f>
        <v>46226</v>
      </c>
      <c r="K98" s="1" t="n">
        <f aca="false">YEAR(J98)*100+MONTH(J98)</f>
        <v>202607</v>
      </c>
      <c r="L98" s="1" t="n">
        <f aca="false">IF(OR(ISNUMBER(SEARCH("stock",C98)),ISNUMBER(SEARCH("forecast",C98)),ISNUMBER(SEARCH("earnings",C98)),ISNUMBER(SEARCH("ipo ",C98&amp;" ")),ISNUMBER(SEARCH("ipo,",C98)),ISNUMBER(SEARCH("lockup",C98)),ISNUMBER(SEARCH("price",C98)),ISNUMBER(SEARCH("mstr",C98)),ISNUMBER(SEARCH("tsm",C98)),ISNUMBER(SEARCH("nvda",C98)),ISNUMBER(SEARCH(" vs ",C98))),1,0)</f>
        <v>0</v>
      </c>
    </row>
    <row r="99" customFormat="false" ht="15" hidden="false" customHeight="true" outlineLevel="0" collapsed="false">
      <c r="A99" s="4" t="s">
        <v>341</v>
      </c>
      <c r="B99" s="4" t="s">
        <v>9</v>
      </c>
      <c r="C99" s="4" t="s">
        <v>342</v>
      </c>
      <c r="D99" s="4" t="s">
        <v>108</v>
      </c>
      <c r="E99" s="4" t="s">
        <v>179</v>
      </c>
      <c r="F99" s="4" t="n">
        <v>8</v>
      </c>
      <c r="G99" s="4" t="s">
        <v>109</v>
      </c>
      <c r="H99" s="4" t="n">
        <v>0</v>
      </c>
      <c r="I99" s="4" t="n">
        <v>1</v>
      </c>
      <c r="J99" s="22" t="n">
        <f aca="false">IF(ISNUMBER(SEARCH("hour",E99)),INT($J$1-VALUE(LEFT(E99,FIND(" ",E99)-1))/24),IF(ISNUMBER(SEARCH("day",E99)),$J$1-VALUE(LEFT(E99,FIND(" ",E99)-1)),DATE(2000+VALUE(RIGHT(E99,2)),MATCH(MID(E99,FIND("-",E99)+1,3),{"Jan","Feb","Mar","Apr","May","Jun","Jul","Aug","Sep","Oct","Nov","Dec"},0),VALUE(LEFT(E99,FIND("-",E99)-1)))))</f>
        <v>46224</v>
      </c>
      <c r="K99" s="1" t="n">
        <f aca="false">YEAR(J99)*100+MONTH(J99)</f>
        <v>202607</v>
      </c>
      <c r="L99" s="1" t="n">
        <f aca="false">IF(OR(ISNUMBER(SEARCH("stock",C99)),ISNUMBER(SEARCH("forecast",C99)),ISNUMBER(SEARCH("earnings",C99)),ISNUMBER(SEARCH("ipo ",C99&amp;" ")),ISNUMBER(SEARCH("ipo,",C99)),ISNUMBER(SEARCH("lockup",C99)),ISNUMBER(SEARCH("price",C99)),ISNUMBER(SEARCH("mstr",C99)),ISNUMBER(SEARCH("tsm",C99)),ISNUMBER(SEARCH("nvda",C99)),ISNUMBER(SEARCH(" vs ",C99))),1,0)</f>
        <v>0</v>
      </c>
    </row>
    <row r="100" customFormat="false" ht="15" hidden="false" customHeight="true" outlineLevel="0" collapsed="false">
      <c r="A100" s="4" t="s">
        <v>343</v>
      </c>
      <c r="B100" s="4" t="s">
        <v>9</v>
      </c>
      <c r="C100" s="4" t="s">
        <v>344</v>
      </c>
      <c r="D100" s="4" t="s">
        <v>95</v>
      </c>
      <c r="E100" s="4" t="s">
        <v>345</v>
      </c>
      <c r="F100" s="4" t="n">
        <v>9</v>
      </c>
      <c r="G100" s="4" t="s">
        <v>102</v>
      </c>
      <c r="H100" s="4" t="n">
        <v>0</v>
      </c>
      <c r="I100" s="4" t="n">
        <v>0</v>
      </c>
      <c r="J100" s="22" t="n">
        <f aca="false">IF(ISNUMBER(SEARCH("hour",E100)),INT($J$1-VALUE(LEFT(E100,FIND(" ",E100)-1))/24),IF(ISNUMBER(SEARCH("day",E100)),$J$1-VALUE(LEFT(E100,FIND(" ",E100)-1)),DATE(2000+VALUE(RIGHT(E100,2)),MATCH(MID(E100,FIND("-",E100)+1,3),{"Jan","Feb","Mar","Apr","May","Jun","Jul","Aug","Sep","Oct","Nov","Dec"},0),VALUE(LEFT(E100,FIND("-",E100)-1)))))</f>
        <v>46221</v>
      </c>
      <c r="K100" s="1" t="n">
        <f aca="false">YEAR(J100)*100+MONTH(J100)</f>
        <v>202607</v>
      </c>
      <c r="L100" s="1" t="n">
        <f aca="false">IF(OR(ISNUMBER(SEARCH("stock",C100)),ISNUMBER(SEARCH("forecast",C100)),ISNUMBER(SEARCH("earnings",C100)),ISNUMBER(SEARCH("ipo ",C100&amp;" ")),ISNUMBER(SEARCH("ipo,",C100)),ISNUMBER(SEARCH("lockup",C100)),ISNUMBER(SEARCH("price",C100)),ISNUMBER(SEARCH("mstr",C100)),ISNUMBER(SEARCH("tsm",C100)),ISNUMBER(SEARCH("nvda",C100)),ISNUMBER(SEARCH(" vs ",C100))),1,0)</f>
        <v>1</v>
      </c>
    </row>
    <row r="101" customFormat="false" ht="15" hidden="false" customHeight="true" outlineLevel="0" collapsed="false">
      <c r="A101" s="4" t="s">
        <v>346</v>
      </c>
      <c r="B101" s="4" t="s">
        <v>9</v>
      </c>
      <c r="C101" s="4" t="s">
        <v>347</v>
      </c>
      <c r="D101" s="4" t="s">
        <v>95</v>
      </c>
      <c r="E101" s="4" t="s">
        <v>182</v>
      </c>
      <c r="F101" s="4" t="n">
        <v>9</v>
      </c>
      <c r="G101" s="4" t="s">
        <v>109</v>
      </c>
      <c r="H101" s="4" t="n">
        <v>1</v>
      </c>
      <c r="I101" s="4" t="n">
        <v>1</v>
      </c>
      <c r="J101" s="22" t="n">
        <f aca="false">IF(ISNUMBER(SEARCH("hour",E101)),INT($J$1-VALUE(LEFT(E101,FIND(" ",E101)-1))/24),IF(ISNUMBER(SEARCH("day",E101)),$J$1-VALUE(LEFT(E101,FIND(" ",E101)-1)),DATE(2000+VALUE(RIGHT(E101,2)),MATCH(MID(E101,FIND("-",E101)+1,3),{"Jan","Feb","Mar","Apr","May","Jun","Jul","Aug","Sep","Oct","Nov","Dec"},0),VALUE(LEFT(E101,FIND("-",E101)-1)))))</f>
        <v>46220</v>
      </c>
      <c r="K101" s="1" t="n">
        <f aca="false">YEAR(J101)*100+MONTH(J101)</f>
        <v>202607</v>
      </c>
      <c r="L101" s="1" t="n">
        <f aca="false">IF(OR(ISNUMBER(SEARCH("stock",C101)),ISNUMBER(SEARCH("forecast",C101)),ISNUMBER(SEARCH("earnings",C101)),ISNUMBER(SEARCH("ipo ",C101&amp;" ")),ISNUMBER(SEARCH("ipo,",C101)),ISNUMBER(SEARCH("lockup",C101)),ISNUMBER(SEARCH("price",C101)),ISNUMBER(SEARCH("mstr",C101)),ISNUMBER(SEARCH("tsm",C101)),ISNUMBER(SEARCH("nvda",C101)),ISNUMBER(SEARCH(" vs ",C101))),1,0)</f>
        <v>0</v>
      </c>
    </row>
    <row r="102" customFormat="false" ht="15" hidden="false" customHeight="true" outlineLevel="0" collapsed="false">
      <c r="A102" s="4" t="s">
        <v>348</v>
      </c>
      <c r="B102" s="4" t="s">
        <v>9</v>
      </c>
      <c r="C102" s="4" t="s">
        <v>349</v>
      </c>
      <c r="D102" s="4" t="s">
        <v>95</v>
      </c>
      <c r="E102" s="4" t="s">
        <v>182</v>
      </c>
      <c r="F102" s="4" t="n">
        <v>8</v>
      </c>
      <c r="G102" s="4" t="s">
        <v>109</v>
      </c>
      <c r="H102" s="4" t="n">
        <v>0</v>
      </c>
      <c r="I102" s="4" t="n">
        <v>1</v>
      </c>
      <c r="J102" s="22" t="n">
        <f aca="false">IF(ISNUMBER(SEARCH("hour",E102)),INT($J$1-VALUE(LEFT(E102,FIND(" ",E102)-1))/24),IF(ISNUMBER(SEARCH("day",E102)),$J$1-VALUE(LEFT(E102,FIND(" ",E102)-1)),DATE(2000+VALUE(RIGHT(E102,2)),MATCH(MID(E102,FIND("-",E102)+1,3),{"Jan","Feb","Mar","Apr","May","Jun","Jul","Aug","Sep","Oct","Nov","Dec"},0),VALUE(LEFT(E102,FIND("-",E102)-1)))))</f>
        <v>46220</v>
      </c>
      <c r="K102" s="1" t="n">
        <f aca="false">YEAR(J102)*100+MONTH(J102)</f>
        <v>202607</v>
      </c>
      <c r="L102" s="1" t="n">
        <f aca="false">IF(OR(ISNUMBER(SEARCH("stock",C102)),ISNUMBER(SEARCH("forecast",C102)),ISNUMBER(SEARCH("earnings",C102)),ISNUMBER(SEARCH("ipo ",C102&amp;" ")),ISNUMBER(SEARCH("ipo,",C102)),ISNUMBER(SEARCH("lockup",C102)),ISNUMBER(SEARCH("price",C102)),ISNUMBER(SEARCH("mstr",C102)),ISNUMBER(SEARCH("tsm",C102)),ISNUMBER(SEARCH("nvda",C102)),ISNUMBER(SEARCH(" vs ",C102))),1,0)</f>
        <v>0</v>
      </c>
    </row>
    <row r="103" customFormat="false" ht="15" hidden="false" customHeight="true" outlineLevel="0" collapsed="false">
      <c r="A103" s="4" t="s">
        <v>350</v>
      </c>
      <c r="B103" s="4" t="s">
        <v>9</v>
      </c>
      <c r="C103" s="4" t="s">
        <v>351</v>
      </c>
      <c r="D103" s="4" t="s">
        <v>122</v>
      </c>
      <c r="E103" s="4" t="s">
        <v>186</v>
      </c>
      <c r="F103" s="4" t="n">
        <v>7</v>
      </c>
      <c r="G103" s="4" t="s">
        <v>102</v>
      </c>
      <c r="H103" s="4" t="n">
        <v>1</v>
      </c>
      <c r="I103" s="4" t="n">
        <v>0</v>
      </c>
      <c r="J103" s="22" t="n">
        <f aca="false">IF(ISNUMBER(SEARCH("hour",E103)),INT($J$1-VALUE(LEFT(E103,FIND(" ",E103)-1))/24),IF(ISNUMBER(SEARCH("day",E103)),$J$1-VALUE(LEFT(E103,FIND(" ",E103)-1)),DATE(2000+VALUE(RIGHT(E103,2)),MATCH(MID(E103,FIND("-",E103)+1,3),{"Jan","Feb","Mar","Apr","May","Jun","Jul","Aug","Sep","Oct","Nov","Dec"},0),VALUE(LEFT(E103,FIND("-",E103)-1)))))</f>
        <v>46218</v>
      </c>
      <c r="K103" s="1" t="n">
        <f aca="false">YEAR(J103)*100+MONTH(J103)</f>
        <v>202607</v>
      </c>
      <c r="L103" s="1" t="n">
        <f aca="false">IF(OR(ISNUMBER(SEARCH("stock",C103)),ISNUMBER(SEARCH("forecast",C103)),ISNUMBER(SEARCH("earnings",C103)),ISNUMBER(SEARCH("ipo ",C103&amp;" ")),ISNUMBER(SEARCH("ipo,",C103)),ISNUMBER(SEARCH("lockup",C103)),ISNUMBER(SEARCH("price",C103)),ISNUMBER(SEARCH("mstr",C103)),ISNUMBER(SEARCH("tsm",C103)),ISNUMBER(SEARCH("nvda",C103)),ISNUMBER(SEARCH(" vs ",C103))),1,0)</f>
        <v>0</v>
      </c>
    </row>
    <row r="104" customFormat="false" ht="15" hidden="false" customHeight="true" outlineLevel="0" collapsed="false">
      <c r="A104" s="4" t="s">
        <v>352</v>
      </c>
      <c r="B104" s="4" t="s">
        <v>11</v>
      </c>
      <c r="C104" s="4" t="s">
        <v>353</v>
      </c>
      <c r="D104" s="4" t="s">
        <v>112</v>
      </c>
      <c r="E104" s="4" t="s">
        <v>221</v>
      </c>
      <c r="F104" s="4" t="n">
        <v>13</v>
      </c>
      <c r="G104" s="4" t="s">
        <v>109</v>
      </c>
      <c r="H104" s="4" t="n">
        <v>1</v>
      </c>
      <c r="I104" s="4" t="n">
        <v>1</v>
      </c>
      <c r="J104" s="22" t="n">
        <f aca="false">IF(ISNUMBER(SEARCH("hour",E104)),INT($J$1-VALUE(LEFT(E104,FIND(" ",E104)-1))/24),IF(ISNUMBER(SEARCH("day",E104)),$J$1-VALUE(LEFT(E104,FIND(" ",E104)-1)),DATE(2000+VALUE(RIGHT(E104,2)),MATCH(MID(E104,FIND("-",E104)+1,3),{"Jan","Feb","Mar","Apr","May","Jun","Jul","Aug","Sep","Oct","Nov","Dec"},0),VALUE(LEFT(E104,FIND("-",E104)-1)))))</f>
        <v>46243</v>
      </c>
      <c r="K104" s="1" t="n">
        <f aca="false">YEAR(J104)*100+MONTH(J104)</f>
        <v>202608</v>
      </c>
      <c r="L104" s="1" t="n">
        <f aca="false">IF(OR(ISNUMBER(SEARCH("stock",C104)),ISNUMBER(SEARCH("forecast",C104)),ISNUMBER(SEARCH("earnings",C104)),ISNUMBER(SEARCH("ipo ",C104&amp;" ")),ISNUMBER(SEARCH("ipo,",C104)),ISNUMBER(SEARCH("lockup",C104)),ISNUMBER(SEARCH("price",C104)),ISNUMBER(SEARCH("mstr",C104)),ISNUMBER(SEARCH("tsm",C104)),ISNUMBER(SEARCH("nvda",C104)),ISNUMBER(SEARCH(" vs ",C104))),1,0)</f>
        <v>0</v>
      </c>
    </row>
    <row r="105" customFormat="false" ht="15" hidden="false" customHeight="true" outlineLevel="0" collapsed="false">
      <c r="A105" s="4" t="s">
        <v>354</v>
      </c>
      <c r="B105" s="4" t="s">
        <v>11</v>
      </c>
      <c r="C105" s="4" t="s">
        <v>355</v>
      </c>
      <c r="D105" s="4" t="s">
        <v>108</v>
      </c>
      <c r="E105" s="4" t="s">
        <v>356</v>
      </c>
      <c r="F105" s="4" t="n">
        <v>9</v>
      </c>
      <c r="G105" s="4" t="s">
        <v>139</v>
      </c>
      <c r="H105" s="4" t="n">
        <v>1</v>
      </c>
      <c r="I105" s="4" t="n">
        <v>0</v>
      </c>
      <c r="J105" s="22" t="n">
        <f aca="false">IF(ISNUMBER(SEARCH("hour",E105)),INT($J$1-VALUE(LEFT(E105,FIND(" ",E105)-1))/24),IF(ISNUMBER(SEARCH("day",E105)),$J$1-VALUE(LEFT(E105,FIND(" ",E105)-1)),DATE(2000+VALUE(RIGHT(E105,2)),MATCH(MID(E105,FIND("-",E105)+1,3),{"Jan","Feb","Mar","Apr","May","Jun","Jul","Aug","Sep","Oct","Nov","Dec"},0),VALUE(LEFT(E105,FIND("-",E105)-1)))))</f>
        <v>46230</v>
      </c>
      <c r="K105" s="1" t="n">
        <f aca="false">YEAR(J105)*100+MONTH(J105)</f>
        <v>202607</v>
      </c>
      <c r="L105" s="1" t="n">
        <f aca="false">IF(OR(ISNUMBER(SEARCH("stock",C105)),ISNUMBER(SEARCH("forecast",C105)),ISNUMBER(SEARCH("earnings",C105)),ISNUMBER(SEARCH("ipo ",C105&amp;" ")),ISNUMBER(SEARCH("ipo,",C105)),ISNUMBER(SEARCH("lockup",C105)),ISNUMBER(SEARCH("price",C105)),ISNUMBER(SEARCH("mstr",C105)),ISNUMBER(SEARCH("tsm",C105)),ISNUMBER(SEARCH("nvda",C105)),ISNUMBER(SEARCH(" vs ",C105))),1,0)</f>
        <v>0</v>
      </c>
    </row>
    <row r="106" customFormat="false" ht="15" hidden="false" customHeight="true" outlineLevel="0" collapsed="false">
      <c r="A106" s="4" t="s">
        <v>357</v>
      </c>
      <c r="B106" s="4" t="s">
        <v>11</v>
      </c>
      <c r="C106" s="4" t="s">
        <v>358</v>
      </c>
      <c r="D106" s="4" t="s">
        <v>108</v>
      </c>
      <c r="E106" s="4" t="s">
        <v>172</v>
      </c>
      <c r="F106" s="4" t="n">
        <v>13</v>
      </c>
      <c r="G106" s="4" t="s">
        <v>235</v>
      </c>
      <c r="H106" s="4" t="n">
        <v>1</v>
      </c>
      <c r="I106" s="4" t="n">
        <v>0</v>
      </c>
      <c r="J106" s="22" t="n">
        <f aca="false">IF(ISNUMBER(SEARCH("hour",E106)),INT($J$1-VALUE(LEFT(E106,FIND(" ",E106)-1))/24),IF(ISNUMBER(SEARCH("day",E106)),$J$1-VALUE(LEFT(E106,FIND(" ",E106)-1)),DATE(2000+VALUE(RIGHT(E106,2)),MATCH(MID(E106,FIND("-",E106)+1,3),{"Jan","Feb","Mar","Apr","May","Jun","Jul","Aug","Sep","Oct","Nov","Dec"},0),VALUE(LEFT(E106,FIND("-",E106)-1)))))</f>
        <v>46227</v>
      </c>
      <c r="K106" s="1" t="n">
        <f aca="false">YEAR(J106)*100+MONTH(J106)</f>
        <v>202607</v>
      </c>
      <c r="L106" s="1" t="n">
        <f aca="false">IF(OR(ISNUMBER(SEARCH("stock",C106)),ISNUMBER(SEARCH("forecast",C106)),ISNUMBER(SEARCH("earnings",C106)),ISNUMBER(SEARCH("ipo ",C106&amp;" ")),ISNUMBER(SEARCH("ipo,",C106)),ISNUMBER(SEARCH("lockup",C106)),ISNUMBER(SEARCH("price",C106)),ISNUMBER(SEARCH("mstr",C106)),ISNUMBER(SEARCH("tsm",C106)),ISNUMBER(SEARCH("nvda",C106)),ISNUMBER(SEARCH(" vs ",C106))),1,0)</f>
        <v>0</v>
      </c>
    </row>
    <row r="107" customFormat="false" ht="15" hidden="false" customHeight="true" outlineLevel="0" collapsed="false">
      <c r="A107" s="4" t="s">
        <v>359</v>
      </c>
      <c r="B107" s="4" t="s">
        <v>11</v>
      </c>
      <c r="C107" s="4" t="s">
        <v>360</v>
      </c>
      <c r="D107" s="4" t="s">
        <v>108</v>
      </c>
      <c r="E107" s="4" t="s">
        <v>175</v>
      </c>
      <c r="F107" s="4" t="n">
        <v>10</v>
      </c>
      <c r="G107" s="4" t="s">
        <v>235</v>
      </c>
      <c r="H107" s="4" t="n">
        <v>1</v>
      </c>
      <c r="I107" s="4" t="n">
        <v>0</v>
      </c>
      <c r="J107" s="22" t="n">
        <f aca="false">IF(ISNUMBER(SEARCH("hour",E107)),INT($J$1-VALUE(LEFT(E107,FIND(" ",E107)-1))/24),IF(ISNUMBER(SEARCH("day",E107)),$J$1-VALUE(LEFT(E107,FIND(" ",E107)-1)),DATE(2000+VALUE(RIGHT(E107,2)),MATCH(MID(E107,FIND("-",E107)+1,3),{"Jan","Feb","Mar","Apr","May","Jun","Jul","Aug","Sep","Oct","Nov","Dec"},0),VALUE(LEFT(E107,FIND("-",E107)-1)))))</f>
        <v>46226</v>
      </c>
      <c r="K107" s="1" t="n">
        <f aca="false">YEAR(J107)*100+MONTH(J107)</f>
        <v>202607</v>
      </c>
      <c r="L107" s="1" t="n">
        <f aca="false">IF(OR(ISNUMBER(SEARCH("stock",C107)),ISNUMBER(SEARCH("forecast",C107)),ISNUMBER(SEARCH("earnings",C107)),ISNUMBER(SEARCH("ipo ",C107&amp;" ")),ISNUMBER(SEARCH("ipo,",C107)),ISNUMBER(SEARCH("lockup",C107)),ISNUMBER(SEARCH("price",C107)),ISNUMBER(SEARCH("mstr",C107)),ISNUMBER(SEARCH("tsm",C107)),ISNUMBER(SEARCH("nvda",C107)),ISNUMBER(SEARCH(" vs ",C107))),1,0)</f>
        <v>0</v>
      </c>
    </row>
    <row r="108" customFormat="false" ht="15" hidden="false" customHeight="true" outlineLevel="0" collapsed="false">
      <c r="A108" s="4" t="s">
        <v>361</v>
      </c>
      <c r="B108" s="4" t="s">
        <v>11</v>
      </c>
      <c r="C108" s="4" t="s">
        <v>362</v>
      </c>
      <c r="D108" s="4" t="s">
        <v>363</v>
      </c>
      <c r="E108" s="4" t="s">
        <v>179</v>
      </c>
      <c r="F108" s="4" t="n">
        <v>10</v>
      </c>
      <c r="G108" s="4" t="s">
        <v>109</v>
      </c>
      <c r="H108" s="4" t="n">
        <v>1</v>
      </c>
      <c r="I108" s="4" t="n">
        <v>0</v>
      </c>
      <c r="J108" s="22" t="n">
        <f aca="false">IF(ISNUMBER(SEARCH("hour",E108)),INT($J$1-VALUE(LEFT(E108,FIND(" ",E108)-1))/24),IF(ISNUMBER(SEARCH("day",E108)),$J$1-VALUE(LEFT(E108,FIND(" ",E108)-1)),DATE(2000+VALUE(RIGHT(E108,2)),MATCH(MID(E108,FIND("-",E108)+1,3),{"Jan","Feb","Mar","Apr","May","Jun","Jul","Aug","Sep","Oct","Nov","Dec"},0),VALUE(LEFT(E108,FIND("-",E108)-1)))))</f>
        <v>46224</v>
      </c>
      <c r="K108" s="1" t="n">
        <f aca="false">YEAR(J108)*100+MONTH(J108)</f>
        <v>202607</v>
      </c>
      <c r="L108" s="1" t="n">
        <f aca="false">IF(OR(ISNUMBER(SEARCH("stock",C108)),ISNUMBER(SEARCH("forecast",C108)),ISNUMBER(SEARCH("earnings",C108)),ISNUMBER(SEARCH("ipo ",C108&amp;" ")),ISNUMBER(SEARCH("ipo,",C108)),ISNUMBER(SEARCH("lockup",C108)),ISNUMBER(SEARCH("price",C108)),ISNUMBER(SEARCH("mstr",C108)),ISNUMBER(SEARCH("tsm",C108)),ISNUMBER(SEARCH("nvda",C108)),ISNUMBER(SEARCH(" vs ",C108))),1,0)</f>
        <v>0</v>
      </c>
    </row>
    <row r="109" customFormat="false" ht="15" hidden="false" customHeight="true" outlineLevel="0" collapsed="false">
      <c r="A109" s="4" t="s">
        <v>364</v>
      </c>
      <c r="B109" s="4" t="s">
        <v>11</v>
      </c>
      <c r="C109" s="4" t="s">
        <v>365</v>
      </c>
      <c r="D109" s="4" t="s">
        <v>108</v>
      </c>
      <c r="E109" s="4" t="s">
        <v>366</v>
      </c>
      <c r="F109" s="4" t="n">
        <v>10</v>
      </c>
      <c r="G109" s="4" t="s">
        <v>109</v>
      </c>
      <c r="H109" s="4" t="n">
        <v>1</v>
      </c>
      <c r="I109" s="4" t="n">
        <v>1</v>
      </c>
      <c r="J109" s="22" t="n">
        <f aca="false">IF(ISNUMBER(SEARCH("hour",E109)),INT($J$1-VALUE(LEFT(E109,FIND(" ",E109)-1))/24),IF(ISNUMBER(SEARCH("day",E109)),$J$1-VALUE(LEFT(E109,FIND(" ",E109)-1)),DATE(2000+VALUE(RIGHT(E109,2)),MATCH(MID(E109,FIND("-",E109)+1,3),{"Jan","Feb","Mar","Apr","May","Jun","Jul","Aug","Sep","Oct","Nov","Dec"},0),VALUE(LEFT(E109,FIND("-",E109)-1)))))</f>
        <v>46223</v>
      </c>
      <c r="K109" s="1" t="n">
        <f aca="false">YEAR(J109)*100+MONTH(J109)</f>
        <v>202607</v>
      </c>
      <c r="L109" s="1" t="n">
        <f aca="false">IF(OR(ISNUMBER(SEARCH("stock",C109)),ISNUMBER(SEARCH("forecast",C109)),ISNUMBER(SEARCH("earnings",C109)),ISNUMBER(SEARCH("ipo ",C109&amp;" ")),ISNUMBER(SEARCH("ipo,",C109)),ISNUMBER(SEARCH("lockup",C109)),ISNUMBER(SEARCH("price",C109)),ISNUMBER(SEARCH("mstr",C109)),ISNUMBER(SEARCH("tsm",C109)),ISNUMBER(SEARCH("nvda",C109)),ISNUMBER(SEARCH(" vs ",C109))),1,0)</f>
        <v>0</v>
      </c>
    </row>
    <row r="110" customFormat="false" ht="15" hidden="false" customHeight="true" outlineLevel="0" collapsed="false">
      <c r="A110" s="4" t="s">
        <v>367</v>
      </c>
      <c r="B110" s="4" t="s">
        <v>11</v>
      </c>
      <c r="C110" s="4" t="s">
        <v>368</v>
      </c>
      <c r="D110" s="4" t="s">
        <v>363</v>
      </c>
      <c r="E110" s="4" t="s">
        <v>369</v>
      </c>
      <c r="F110" s="4" t="n">
        <v>10</v>
      </c>
      <c r="G110" s="4" t="s">
        <v>109</v>
      </c>
      <c r="H110" s="4" t="n">
        <v>1</v>
      </c>
      <c r="I110" s="4" t="n">
        <v>1</v>
      </c>
      <c r="J110" s="22" t="n">
        <f aca="false">IF(ISNUMBER(SEARCH("hour",E110)),INT($J$1-VALUE(LEFT(E110,FIND(" ",E110)-1))/24),IF(ISNUMBER(SEARCH("day",E110)),$J$1-VALUE(LEFT(E110,FIND(" ",E110)-1)),DATE(2000+VALUE(RIGHT(E110,2)),MATCH(MID(E110,FIND("-",E110)+1,3),{"Jan","Feb","Mar","Apr","May","Jun","Jul","Aug","Sep","Oct","Nov","Dec"},0),VALUE(LEFT(E110,FIND("-",E110)-1)))))</f>
        <v>46222</v>
      </c>
      <c r="K110" s="1" t="n">
        <f aca="false">YEAR(J110)*100+MONTH(J110)</f>
        <v>202607</v>
      </c>
      <c r="L110" s="1" t="n">
        <f aca="false">IF(OR(ISNUMBER(SEARCH("stock",C110)),ISNUMBER(SEARCH("forecast",C110)),ISNUMBER(SEARCH("earnings",C110)),ISNUMBER(SEARCH("ipo ",C110&amp;" ")),ISNUMBER(SEARCH("ipo,",C110)),ISNUMBER(SEARCH("lockup",C110)),ISNUMBER(SEARCH("price",C110)),ISNUMBER(SEARCH("mstr",C110)),ISNUMBER(SEARCH("tsm",C110)),ISNUMBER(SEARCH("nvda",C110)),ISNUMBER(SEARCH(" vs ",C110))),1,0)</f>
        <v>0</v>
      </c>
    </row>
    <row r="111" customFormat="false" ht="15" hidden="false" customHeight="true" outlineLevel="0" collapsed="false">
      <c r="A111" s="4" t="s">
        <v>370</v>
      </c>
      <c r="B111" s="4" t="s">
        <v>11</v>
      </c>
      <c r="C111" s="4" t="s">
        <v>371</v>
      </c>
      <c r="D111" s="4" t="s">
        <v>108</v>
      </c>
      <c r="E111" s="4" t="s">
        <v>369</v>
      </c>
      <c r="F111" s="4" t="n">
        <v>9</v>
      </c>
      <c r="G111" s="4" t="s">
        <v>109</v>
      </c>
      <c r="H111" s="4" t="n">
        <v>0</v>
      </c>
      <c r="I111" s="4" t="n">
        <v>1</v>
      </c>
      <c r="J111" s="22" t="n">
        <f aca="false">IF(ISNUMBER(SEARCH("hour",E111)),INT($J$1-VALUE(LEFT(E111,FIND(" ",E111)-1))/24),IF(ISNUMBER(SEARCH("day",E111)),$J$1-VALUE(LEFT(E111,FIND(" ",E111)-1)),DATE(2000+VALUE(RIGHT(E111,2)),MATCH(MID(E111,FIND("-",E111)+1,3),{"Jan","Feb","Mar","Apr","May","Jun","Jul","Aug","Sep","Oct","Nov","Dec"},0),VALUE(LEFT(E111,FIND("-",E111)-1)))))</f>
        <v>46222</v>
      </c>
      <c r="K111" s="1" t="n">
        <f aca="false">YEAR(J111)*100+MONTH(J111)</f>
        <v>202607</v>
      </c>
      <c r="L111" s="1" t="n">
        <f aca="false">IF(OR(ISNUMBER(SEARCH("stock",C111)),ISNUMBER(SEARCH("forecast",C111)),ISNUMBER(SEARCH("earnings",C111)),ISNUMBER(SEARCH("ipo ",C111&amp;" ")),ISNUMBER(SEARCH("ipo,",C111)),ISNUMBER(SEARCH("lockup",C111)),ISNUMBER(SEARCH("price",C111)),ISNUMBER(SEARCH("mstr",C111)),ISNUMBER(SEARCH("tsm",C111)),ISNUMBER(SEARCH("nvda",C111)),ISNUMBER(SEARCH(" vs ",C111))),1,0)</f>
        <v>0</v>
      </c>
    </row>
    <row r="112" customFormat="false" ht="15" hidden="false" customHeight="true" outlineLevel="0" collapsed="false">
      <c r="A112" s="4" t="s">
        <v>372</v>
      </c>
      <c r="B112" s="4" t="s">
        <v>11</v>
      </c>
      <c r="C112" s="4" t="s">
        <v>373</v>
      </c>
      <c r="D112" s="4" t="s">
        <v>116</v>
      </c>
      <c r="E112" s="4" t="s">
        <v>287</v>
      </c>
      <c r="F112" s="4" t="n">
        <v>9</v>
      </c>
      <c r="G112" s="4" t="s">
        <v>102</v>
      </c>
      <c r="H112" s="4" t="n">
        <v>1</v>
      </c>
      <c r="I112" s="4" t="n">
        <v>0</v>
      </c>
      <c r="J112" s="22" t="n">
        <f aca="false">IF(ISNUMBER(SEARCH("hour",E112)),INT($J$1-VALUE(LEFT(E112,FIND(" ",E112)-1))/24),IF(ISNUMBER(SEARCH("day",E112)),$J$1-VALUE(LEFT(E112,FIND(" ",E112)-1)),DATE(2000+VALUE(RIGHT(E112,2)),MATCH(MID(E112,FIND("-",E112)+1,3),{"Jan","Feb","Mar","Apr","May","Jun","Jul","Aug","Sep","Oct","Nov","Dec"},0),VALUE(LEFT(E112,FIND("-",E112)-1)))))</f>
        <v>46219</v>
      </c>
      <c r="K112" s="1" t="n">
        <f aca="false">YEAR(J112)*100+MONTH(J112)</f>
        <v>202607</v>
      </c>
      <c r="L112" s="1" t="n">
        <f aca="false">IF(OR(ISNUMBER(SEARCH("stock",C112)),ISNUMBER(SEARCH("forecast",C112)),ISNUMBER(SEARCH("earnings",C112)),ISNUMBER(SEARCH("ipo ",C112&amp;" ")),ISNUMBER(SEARCH("ipo,",C112)),ISNUMBER(SEARCH("lockup",C112)),ISNUMBER(SEARCH("price",C112)),ISNUMBER(SEARCH("mstr",C112)),ISNUMBER(SEARCH("tsm",C112)),ISNUMBER(SEARCH("nvda",C112)),ISNUMBER(SEARCH(" vs ",C112))),1,0)</f>
        <v>0</v>
      </c>
    </row>
    <row r="113" customFormat="false" ht="15" hidden="false" customHeight="true" outlineLevel="0" collapsed="false">
      <c r="A113" s="4" t="s">
        <v>374</v>
      </c>
      <c r="B113" s="4" t="s">
        <v>11</v>
      </c>
      <c r="C113" s="4" t="s">
        <v>375</v>
      </c>
      <c r="D113" s="4" t="s">
        <v>108</v>
      </c>
      <c r="E113" s="4" t="s">
        <v>186</v>
      </c>
      <c r="F113" s="4" t="n">
        <v>8</v>
      </c>
      <c r="G113" s="4" t="s">
        <v>102</v>
      </c>
      <c r="H113" s="4" t="n">
        <v>1</v>
      </c>
      <c r="I113" s="4" t="n">
        <v>1</v>
      </c>
      <c r="J113" s="22" t="n">
        <f aca="false">IF(ISNUMBER(SEARCH("hour",E113)),INT($J$1-VALUE(LEFT(E113,FIND(" ",E113)-1))/24),IF(ISNUMBER(SEARCH("day",E113)),$J$1-VALUE(LEFT(E113,FIND(" ",E113)-1)),DATE(2000+VALUE(RIGHT(E113,2)),MATCH(MID(E113,FIND("-",E113)+1,3),{"Jan","Feb","Mar","Apr","May","Jun","Jul","Aug","Sep","Oct","Nov","Dec"},0),VALUE(LEFT(E113,FIND("-",E113)-1)))))</f>
        <v>46218</v>
      </c>
      <c r="K113" s="1" t="n">
        <f aca="false">YEAR(J113)*100+MONTH(J113)</f>
        <v>202607</v>
      </c>
      <c r="L113" s="1" t="n">
        <f aca="false">IF(OR(ISNUMBER(SEARCH("stock",C113)),ISNUMBER(SEARCH("forecast",C113)),ISNUMBER(SEARCH("earnings",C113)),ISNUMBER(SEARCH("ipo ",C113&amp;" ")),ISNUMBER(SEARCH("ipo,",C113)),ISNUMBER(SEARCH("lockup",C113)),ISNUMBER(SEARCH("price",C113)),ISNUMBER(SEARCH("mstr",C113)),ISNUMBER(SEARCH("tsm",C113)),ISNUMBER(SEARCH("nvda",C113)),ISNUMBER(SEARCH(" vs ",C113))),1,0)</f>
        <v>0</v>
      </c>
    </row>
    <row r="114" customFormat="false" ht="15" hidden="false" customHeight="true" outlineLevel="0" collapsed="false">
      <c r="A114" s="4" t="s">
        <v>376</v>
      </c>
      <c r="B114" s="4" t="s">
        <v>11</v>
      </c>
      <c r="C114" s="4" t="s">
        <v>377</v>
      </c>
      <c r="D114" s="4" t="s">
        <v>108</v>
      </c>
      <c r="E114" s="4" t="s">
        <v>186</v>
      </c>
      <c r="F114" s="4" t="n">
        <v>8</v>
      </c>
      <c r="G114" s="4" t="s">
        <v>102</v>
      </c>
      <c r="H114" s="4" t="n">
        <v>1</v>
      </c>
      <c r="I114" s="4" t="n">
        <v>1</v>
      </c>
      <c r="J114" s="22" t="n">
        <f aca="false">IF(ISNUMBER(SEARCH("hour",E114)),INT($J$1-VALUE(LEFT(E114,FIND(" ",E114)-1))/24),IF(ISNUMBER(SEARCH("day",E114)),$J$1-VALUE(LEFT(E114,FIND(" ",E114)-1)),DATE(2000+VALUE(RIGHT(E114,2)),MATCH(MID(E114,FIND("-",E114)+1,3),{"Jan","Feb","Mar","Apr","May","Jun","Jul","Aug","Sep","Oct","Nov","Dec"},0),VALUE(LEFT(E114,FIND("-",E114)-1)))))</f>
        <v>46218</v>
      </c>
      <c r="K114" s="1" t="n">
        <f aca="false">YEAR(J114)*100+MONTH(J114)</f>
        <v>202607</v>
      </c>
      <c r="L114" s="1" t="n">
        <f aca="false">IF(OR(ISNUMBER(SEARCH("stock",C114)),ISNUMBER(SEARCH("forecast",C114)),ISNUMBER(SEARCH("earnings",C114)),ISNUMBER(SEARCH("ipo ",C114&amp;" ")),ISNUMBER(SEARCH("ipo,",C114)),ISNUMBER(SEARCH("lockup",C114)),ISNUMBER(SEARCH("price",C114)),ISNUMBER(SEARCH("mstr",C114)),ISNUMBER(SEARCH("tsm",C114)),ISNUMBER(SEARCH("nvda",C114)),ISNUMBER(SEARCH(" vs ",C114))),1,0)</f>
        <v>0</v>
      </c>
    </row>
    <row r="115" customFormat="false" ht="15" hidden="false" customHeight="true" outlineLevel="0" collapsed="false">
      <c r="A115" s="4" t="s">
        <v>378</v>
      </c>
      <c r="B115" s="4" t="s">
        <v>11</v>
      </c>
      <c r="C115" s="4" t="s">
        <v>379</v>
      </c>
      <c r="D115" s="4" t="s">
        <v>108</v>
      </c>
      <c r="E115" s="4" t="s">
        <v>199</v>
      </c>
      <c r="F115" s="4" t="n">
        <v>7</v>
      </c>
      <c r="G115" s="4" t="s">
        <v>235</v>
      </c>
      <c r="H115" s="4" t="n">
        <v>0</v>
      </c>
      <c r="I115" s="4" t="n">
        <v>0</v>
      </c>
      <c r="J115" s="22" t="n">
        <f aca="false">IF(ISNUMBER(SEARCH("hour",E115)),INT($J$1-VALUE(LEFT(E115,FIND(" ",E115)-1))/24),IF(ISNUMBER(SEARCH("day",E115)),$J$1-VALUE(LEFT(E115,FIND(" ",E115)-1)),DATE(2000+VALUE(RIGHT(E115,2)),MATCH(MID(E115,FIND("-",E115)+1,3),{"Jan","Feb","Mar","Apr","May","Jun","Jul","Aug","Sep","Oct","Nov","Dec"},0),VALUE(LEFT(E115,FIND("-",E115)-1)))))</f>
        <v>46216</v>
      </c>
      <c r="K115" s="1" t="n">
        <f aca="false">YEAR(J115)*100+MONTH(J115)</f>
        <v>202607</v>
      </c>
      <c r="L115" s="1" t="n">
        <f aca="false">IF(OR(ISNUMBER(SEARCH("stock",C115)),ISNUMBER(SEARCH("forecast",C115)),ISNUMBER(SEARCH("earnings",C115)),ISNUMBER(SEARCH("ipo ",C115&amp;" ")),ISNUMBER(SEARCH("ipo,",C115)),ISNUMBER(SEARCH("lockup",C115)),ISNUMBER(SEARCH("price",C115)),ISNUMBER(SEARCH("mstr",C115)),ISNUMBER(SEARCH("tsm",C115)),ISNUMBER(SEARCH("nvda",C115)),ISNUMBER(SEARCH(" vs ",C115))),1,0)</f>
        <v>0</v>
      </c>
    </row>
    <row r="116" customFormat="false" ht="15" hidden="false" customHeight="true" outlineLevel="0" collapsed="false">
      <c r="A116" s="4" t="s">
        <v>380</v>
      </c>
      <c r="B116" s="4" t="s">
        <v>11</v>
      </c>
      <c r="C116" s="4" t="s">
        <v>381</v>
      </c>
      <c r="D116" s="4" t="s">
        <v>122</v>
      </c>
      <c r="E116" s="4" t="s">
        <v>238</v>
      </c>
      <c r="F116" s="4" t="n">
        <v>5</v>
      </c>
      <c r="G116" s="4" t="s">
        <v>139</v>
      </c>
      <c r="H116" s="4" t="n">
        <v>0</v>
      </c>
      <c r="I116" s="4" t="n">
        <v>0</v>
      </c>
      <c r="J116" s="22" t="n">
        <f aca="false">IF(ISNUMBER(SEARCH("hour",E116)),INT($J$1-VALUE(LEFT(E116,FIND(" ",E116)-1))/24),IF(ISNUMBER(SEARCH("day",E116)),$J$1-VALUE(LEFT(E116,FIND(" ",E116)-1)),DATE(2000+VALUE(RIGHT(E116,2)),MATCH(MID(E116,FIND("-",E116)+1,3),{"Jan","Feb","Mar","Apr","May","Jun","Jul","Aug","Sep","Oct","Nov","Dec"},0),VALUE(LEFT(E116,FIND("-",E116)-1)))))</f>
        <v>46203</v>
      </c>
      <c r="K116" s="1" t="n">
        <f aca="false">YEAR(J116)*100+MONTH(J116)</f>
        <v>202606</v>
      </c>
      <c r="L116" s="1" t="n">
        <f aca="false">IF(OR(ISNUMBER(SEARCH("stock",C116)),ISNUMBER(SEARCH("forecast",C116)),ISNUMBER(SEARCH("earnings",C116)),ISNUMBER(SEARCH("ipo ",C116&amp;" ")),ISNUMBER(SEARCH("ipo,",C116)),ISNUMBER(SEARCH("lockup",C116)),ISNUMBER(SEARCH("price",C116)),ISNUMBER(SEARCH("mstr",C116)),ISNUMBER(SEARCH("tsm",C116)),ISNUMBER(SEARCH("nvda",C116)),ISNUMBER(SEARCH(" vs ",C116))),1,0)</f>
        <v>0</v>
      </c>
    </row>
    <row r="117" customFormat="false" ht="15" hidden="false" customHeight="true" outlineLevel="0" collapsed="false">
      <c r="A117" s="4" t="s">
        <v>382</v>
      </c>
      <c r="B117" s="4" t="s">
        <v>11</v>
      </c>
      <c r="C117" s="4" t="s">
        <v>383</v>
      </c>
      <c r="D117" s="4" t="s">
        <v>122</v>
      </c>
      <c r="E117" s="4" t="s">
        <v>238</v>
      </c>
      <c r="F117" s="4" t="n">
        <v>8</v>
      </c>
      <c r="G117" s="4" t="s">
        <v>235</v>
      </c>
      <c r="H117" s="4" t="n">
        <v>0</v>
      </c>
      <c r="I117" s="4" t="n">
        <v>1</v>
      </c>
      <c r="J117" s="22" t="n">
        <f aca="false">IF(ISNUMBER(SEARCH("hour",E117)),INT($J$1-VALUE(LEFT(E117,FIND(" ",E117)-1))/24),IF(ISNUMBER(SEARCH("day",E117)),$J$1-VALUE(LEFT(E117,FIND(" ",E117)-1)),DATE(2000+VALUE(RIGHT(E117,2)),MATCH(MID(E117,FIND("-",E117)+1,3),{"Jan","Feb","Mar","Apr","May","Jun","Jul","Aug","Sep","Oct","Nov","Dec"},0),VALUE(LEFT(E117,FIND("-",E117)-1)))))</f>
        <v>46203</v>
      </c>
      <c r="K117" s="1" t="n">
        <f aca="false">YEAR(J117)*100+MONTH(J117)</f>
        <v>202606</v>
      </c>
      <c r="L117" s="1" t="n">
        <f aca="false">IF(OR(ISNUMBER(SEARCH("stock",C117)),ISNUMBER(SEARCH("forecast",C117)),ISNUMBER(SEARCH("earnings",C117)),ISNUMBER(SEARCH("ipo ",C117&amp;" ")),ISNUMBER(SEARCH("ipo,",C117)),ISNUMBER(SEARCH("lockup",C117)),ISNUMBER(SEARCH("price",C117)),ISNUMBER(SEARCH("mstr",C117)),ISNUMBER(SEARCH("tsm",C117)),ISNUMBER(SEARCH("nvda",C117)),ISNUMBER(SEARCH(" vs ",C117))),1,0)</f>
        <v>0</v>
      </c>
    </row>
    <row r="118" customFormat="false" ht="15" hidden="false" customHeight="true" outlineLevel="0" collapsed="false">
      <c r="A118" s="4" t="s">
        <v>384</v>
      </c>
      <c r="B118" s="4" t="s">
        <v>11</v>
      </c>
      <c r="C118" s="4" t="s">
        <v>385</v>
      </c>
      <c r="D118" s="4" t="s">
        <v>95</v>
      </c>
      <c r="E118" s="4" t="s">
        <v>386</v>
      </c>
      <c r="F118" s="4" t="n">
        <v>9</v>
      </c>
      <c r="G118" s="4" t="s">
        <v>109</v>
      </c>
      <c r="H118" s="4" t="n">
        <v>1</v>
      </c>
      <c r="I118" s="4" t="n">
        <v>0</v>
      </c>
      <c r="J118" s="22" t="n">
        <f aca="false">IF(ISNUMBER(SEARCH("hour",E118)),INT($J$1-VALUE(LEFT(E118,FIND(" ",E118)-1))/24),IF(ISNUMBER(SEARCH("day",E118)),$J$1-VALUE(LEFT(E118,FIND(" ",E118)-1)),DATE(2000+VALUE(RIGHT(E118,2)),MATCH(MID(E118,FIND("-",E118)+1,3),{"Jan","Feb","Mar","Apr","May","Jun","Jul","Aug","Sep","Oct","Nov","Dec"},0),VALUE(LEFT(E118,FIND("-",E118)-1)))))</f>
        <v>46168</v>
      </c>
      <c r="K118" s="1" t="n">
        <f aca="false">YEAR(J118)*100+MONTH(J118)</f>
        <v>202605</v>
      </c>
      <c r="L118" s="1" t="n">
        <f aca="false">IF(OR(ISNUMBER(SEARCH("stock",C118)),ISNUMBER(SEARCH("forecast",C118)),ISNUMBER(SEARCH("earnings",C118)),ISNUMBER(SEARCH("ipo ",C118&amp;" ")),ISNUMBER(SEARCH("ipo,",C118)),ISNUMBER(SEARCH("lockup",C118)),ISNUMBER(SEARCH("price",C118)),ISNUMBER(SEARCH("mstr",C118)),ISNUMBER(SEARCH("tsm",C118)),ISNUMBER(SEARCH("nvda",C118)),ISNUMBER(SEARCH(" vs ",C118))),1,0)</f>
        <v>0</v>
      </c>
    </row>
    <row r="119" customFormat="false" ht="15" hidden="false" customHeight="true" outlineLevel="0" collapsed="false">
      <c r="A119" s="4" t="s">
        <v>387</v>
      </c>
      <c r="B119" s="4" t="s">
        <v>11</v>
      </c>
      <c r="C119" s="4" t="s">
        <v>388</v>
      </c>
      <c r="D119" s="4" t="s">
        <v>389</v>
      </c>
      <c r="E119" s="4" t="s">
        <v>300</v>
      </c>
      <c r="F119" s="4" t="n">
        <v>14</v>
      </c>
      <c r="G119" s="4" t="s">
        <v>235</v>
      </c>
      <c r="H119" s="4" t="n">
        <v>0</v>
      </c>
      <c r="I119" s="4" t="n">
        <v>1</v>
      </c>
      <c r="J119" s="22" t="n">
        <f aca="false">IF(ISNUMBER(SEARCH("hour",E119)),INT($J$1-VALUE(LEFT(E119,FIND(" ",E119)-1))/24),IF(ISNUMBER(SEARCH("day",E119)),$J$1-VALUE(LEFT(E119,FIND(" ",E119)-1)),DATE(2000+VALUE(RIGHT(E119,2)),MATCH(MID(E119,FIND("-",E119)+1,3),{"Jan","Feb","Mar","Apr","May","Jun","Jul","Aug","Sep","Oct","Nov","Dec"},0),VALUE(LEFT(E119,FIND("-",E119)-1)))))</f>
        <v>46160</v>
      </c>
      <c r="K119" s="1" t="n">
        <f aca="false">YEAR(J119)*100+MONTH(J119)</f>
        <v>202605</v>
      </c>
      <c r="L119" s="1" t="n">
        <f aca="false">IF(OR(ISNUMBER(SEARCH("stock",C119)),ISNUMBER(SEARCH("forecast",C119)),ISNUMBER(SEARCH("earnings",C119)),ISNUMBER(SEARCH("ipo ",C119&amp;" ")),ISNUMBER(SEARCH("ipo,",C119)),ISNUMBER(SEARCH("lockup",C119)),ISNUMBER(SEARCH("price",C119)),ISNUMBER(SEARCH("mstr",C119)),ISNUMBER(SEARCH("tsm",C119)),ISNUMBER(SEARCH("nvda",C119)),ISNUMBER(SEARCH(" vs ",C119))),1,0)</f>
        <v>1</v>
      </c>
    </row>
    <row r="120" customFormat="false" ht="15" hidden="false" customHeight="true" outlineLevel="0" collapsed="false">
      <c r="A120" s="4" t="s">
        <v>306</v>
      </c>
      <c r="B120" s="4" t="s">
        <v>11</v>
      </c>
      <c r="C120" s="4" t="s">
        <v>307</v>
      </c>
      <c r="D120" s="4" t="s">
        <v>95</v>
      </c>
      <c r="E120" s="4" t="s">
        <v>308</v>
      </c>
      <c r="F120" s="4" t="n">
        <v>8</v>
      </c>
      <c r="G120" s="4" t="s">
        <v>102</v>
      </c>
      <c r="H120" s="4" t="n">
        <v>0</v>
      </c>
      <c r="I120" s="4" t="n">
        <v>0</v>
      </c>
      <c r="J120" s="22" t="n">
        <f aca="false">IF(ISNUMBER(SEARCH("hour",E120)),INT($J$1-VALUE(LEFT(E120,FIND(" ",E120)-1))/24),IF(ISNUMBER(SEARCH("day",E120)),$J$1-VALUE(LEFT(E120,FIND(" ",E120)-1)),DATE(2000+VALUE(RIGHT(E120,2)),MATCH(MID(E120,FIND("-",E120)+1,3),{"Jan","Feb","Mar","Apr","May","Jun","Jul","Aug","Sep","Oct","Nov","Dec"},0),VALUE(LEFT(E120,FIND("-",E120)-1)))))</f>
        <v>46151</v>
      </c>
      <c r="K120" s="1" t="n">
        <f aca="false">YEAR(J120)*100+MONTH(J120)</f>
        <v>202605</v>
      </c>
      <c r="L120" s="1" t="n">
        <f aca="false">IF(OR(ISNUMBER(SEARCH("stock",C120)),ISNUMBER(SEARCH("forecast",C120)),ISNUMBER(SEARCH("earnings",C120)),ISNUMBER(SEARCH("ipo ",C120&amp;" ")),ISNUMBER(SEARCH("ipo,",C120)),ISNUMBER(SEARCH("lockup",C120)),ISNUMBER(SEARCH("price",C120)),ISNUMBER(SEARCH("mstr",C120)),ISNUMBER(SEARCH("tsm",C120)),ISNUMBER(SEARCH("nvda",C120)),ISNUMBER(SEARCH(" vs ",C120))),1,0)</f>
        <v>0</v>
      </c>
    </row>
    <row r="121" customFormat="false" ht="15" hidden="false" customHeight="true" outlineLevel="0" collapsed="false">
      <c r="A121" s="4" t="s">
        <v>390</v>
      </c>
      <c r="B121" s="4" t="s">
        <v>11</v>
      </c>
      <c r="C121" s="4" t="s">
        <v>391</v>
      </c>
      <c r="D121" s="4" t="s">
        <v>230</v>
      </c>
      <c r="E121" s="4" t="s">
        <v>392</v>
      </c>
      <c r="F121" s="4" t="n">
        <v>8</v>
      </c>
      <c r="G121" s="4" t="s">
        <v>235</v>
      </c>
      <c r="H121" s="4" t="n">
        <v>0</v>
      </c>
      <c r="I121" s="4" t="n">
        <v>1</v>
      </c>
      <c r="J121" s="22" t="n">
        <f aca="false">IF(ISNUMBER(SEARCH("hour",E121)),INT($J$1-VALUE(LEFT(E121,FIND(" ",E121)-1))/24),IF(ISNUMBER(SEARCH("day",E121)),$J$1-VALUE(LEFT(E121,FIND(" ",E121)-1)),DATE(2000+VALUE(RIGHT(E121,2)),MATCH(MID(E121,FIND("-",E121)+1,3),{"Jan","Feb","Mar","Apr","May","Jun","Jul","Aug","Sep","Oct","Nov","Dec"},0),VALUE(LEFT(E121,FIND("-",E121)-1)))))</f>
        <v>46112</v>
      </c>
      <c r="K121" s="1" t="n">
        <f aca="false">YEAR(J121)*100+MONTH(J121)</f>
        <v>202603</v>
      </c>
      <c r="L121" s="1" t="n">
        <f aca="false">IF(OR(ISNUMBER(SEARCH("stock",C121)),ISNUMBER(SEARCH("forecast",C121)),ISNUMBER(SEARCH("earnings",C121)),ISNUMBER(SEARCH("ipo ",C121&amp;" ")),ISNUMBER(SEARCH("ipo,",C121)),ISNUMBER(SEARCH("lockup",C121)),ISNUMBER(SEARCH("price",C121)),ISNUMBER(SEARCH("mstr",C121)),ISNUMBER(SEARCH("tsm",C121)),ISNUMBER(SEARCH("nvda",C121)),ISNUMBER(SEARCH(" vs ",C121))),1,0)</f>
        <v>0</v>
      </c>
    </row>
    <row r="122" customFormat="false" ht="15" hidden="false" customHeight="true" outlineLevel="0" collapsed="false">
      <c r="A122" s="4" t="s">
        <v>393</v>
      </c>
      <c r="B122" s="4" t="s">
        <v>11</v>
      </c>
      <c r="C122" s="4" t="s">
        <v>394</v>
      </c>
      <c r="D122" s="4" t="s">
        <v>389</v>
      </c>
      <c r="E122" s="4" t="s">
        <v>395</v>
      </c>
      <c r="F122" s="4" t="n">
        <v>12</v>
      </c>
      <c r="G122" s="4" t="s">
        <v>235</v>
      </c>
      <c r="H122" s="4" t="n">
        <v>0</v>
      </c>
      <c r="I122" s="4" t="n">
        <v>0</v>
      </c>
      <c r="J122" s="22" t="n">
        <f aca="false">IF(ISNUMBER(SEARCH("hour",E122)),INT($J$1-VALUE(LEFT(E122,FIND(" ",E122)-1))/24),IF(ISNUMBER(SEARCH("day",E122)),$J$1-VALUE(LEFT(E122,FIND(" ",E122)-1)),DATE(2000+VALUE(RIGHT(E122,2)),MATCH(MID(E122,FIND("-",E122)+1,3),{"Jan","Feb","Mar","Apr","May","Jun","Jul","Aug","Sep","Oct","Nov","Dec"},0),VALUE(LEFT(E122,FIND("-",E122)-1)))))</f>
        <v>46093</v>
      </c>
      <c r="K122" s="1" t="n">
        <f aca="false">YEAR(J122)*100+MONTH(J122)</f>
        <v>202603</v>
      </c>
      <c r="L122" s="1" t="n">
        <f aca="false">IF(OR(ISNUMBER(SEARCH("stock",C122)),ISNUMBER(SEARCH("forecast",C122)),ISNUMBER(SEARCH("earnings",C122)),ISNUMBER(SEARCH("ipo ",C122&amp;" ")),ISNUMBER(SEARCH("ipo,",C122)),ISNUMBER(SEARCH("lockup",C122)),ISNUMBER(SEARCH("price",C122)),ISNUMBER(SEARCH("mstr",C122)),ISNUMBER(SEARCH("tsm",C122)),ISNUMBER(SEARCH("nvda",C122)),ISNUMBER(SEARCH(" vs ",C122))),1,0)</f>
        <v>0</v>
      </c>
    </row>
    <row r="123" customFormat="false" ht="15" hidden="false" customHeight="true" outlineLevel="0" collapsed="false">
      <c r="A123" s="4" t="s">
        <v>396</v>
      </c>
      <c r="B123" s="4" t="s">
        <v>11</v>
      </c>
      <c r="C123" s="4" t="s">
        <v>397</v>
      </c>
      <c r="D123" s="4" t="s">
        <v>398</v>
      </c>
      <c r="E123" s="4" t="s">
        <v>399</v>
      </c>
      <c r="F123" s="4" t="n">
        <v>9</v>
      </c>
      <c r="G123" s="4" t="s">
        <v>235</v>
      </c>
      <c r="H123" s="4" t="n">
        <v>0</v>
      </c>
      <c r="I123" s="4" t="n">
        <v>1</v>
      </c>
      <c r="J123" s="22" t="n">
        <f aca="false">IF(ISNUMBER(SEARCH("hour",E123)),INT($J$1-VALUE(LEFT(E123,FIND(" ",E123)-1))/24),IF(ISNUMBER(SEARCH("day",E123)),$J$1-VALUE(LEFT(E123,FIND(" ",E123)-1)),DATE(2000+VALUE(RIGHT(E123,2)),MATCH(MID(E123,FIND("-",E123)+1,3),{"Jan","Feb","Mar","Apr","May","Jun","Jul","Aug","Sep","Oct","Nov","Dec"},0),VALUE(LEFT(E123,FIND("-",E123)-1)))))</f>
        <v>46092</v>
      </c>
      <c r="K123" s="1" t="n">
        <f aca="false">YEAR(J123)*100+MONTH(J123)</f>
        <v>202603</v>
      </c>
      <c r="L123" s="1" t="n">
        <f aca="false">IF(OR(ISNUMBER(SEARCH("stock",C123)),ISNUMBER(SEARCH("forecast",C123)),ISNUMBER(SEARCH("earnings",C123)),ISNUMBER(SEARCH("ipo ",C123&amp;" ")),ISNUMBER(SEARCH("ipo,",C123)),ISNUMBER(SEARCH("lockup",C123)),ISNUMBER(SEARCH("price",C123)),ISNUMBER(SEARCH("mstr",C123)),ISNUMBER(SEARCH("tsm",C123)),ISNUMBER(SEARCH("nvda",C123)),ISNUMBER(SEARCH(" vs ",C123))),1,0)</f>
        <v>0</v>
      </c>
    </row>
  </sheetData>
  <autoFilter ref="A3:L1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9" min="2" style="1" width="20"/>
  </cols>
  <sheetData>
    <row r="1" customFormat="false" ht="60" hidden="false" customHeight="true" outlineLevel="0" collapsed="false">
      <c r="A1" s="3" t="s">
        <v>34</v>
      </c>
      <c r="B1" s="3" t="s">
        <v>400</v>
      </c>
      <c r="C1" s="3" t="s">
        <v>401</v>
      </c>
      <c r="D1" s="3" t="s">
        <v>402</v>
      </c>
      <c r="E1" s="3" t="s">
        <v>403</v>
      </c>
      <c r="F1" s="3" t="s">
        <v>404</v>
      </c>
      <c r="G1" s="3" t="s">
        <v>405</v>
      </c>
      <c r="H1" s="3" t="s">
        <v>406</v>
      </c>
      <c r="I1" s="3" t="s">
        <v>407</v>
      </c>
    </row>
    <row r="2" customFormat="false" ht="15" hidden="false" customHeight="true" outlineLevel="0" collapsed="false">
      <c r="A2" s="1" t="s">
        <v>6</v>
      </c>
      <c r="B2" s="1" t="n">
        <f aca="false">COUNTIF(Articles!$B$4:$B$123,A2)</f>
        <v>20</v>
      </c>
      <c r="C2" s="23" t="n">
        <f aca="false">_xlfn.MINIFS(Articles!$J$4:$J$123,Articles!$B$4:$B$123,A2)</f>
        <v>46286</v>
      </c>
      <c r="D2" s="23" t="n">
        <f aca="false">_xlfn.MAXIFS(Articles!$J$4:$J$123,Articles!$B$4:$B$123,A2)</f>
        <v>46297</v>
      </c>
      <c r="E2" s="24" t="n">
        <f aca="false">Articles!$J$1-C2</f>
        <v>12</v>
      </c>
      <c r="F2" s="24" t="n">
        <f aca="false">Articles!$J$1-D2</f>
        <v>1</v>
      </c>
      <c r="G2" s="1" t="n">
        <f aca="false">SUMIFS(Articles!$L$4:$L$123,Articles!$B$4:$B$123,A2)</f>
        <v>10</v>
      </c>
      <c r="H2" s="1" t="n">
        <f aca="false">COUNTIFS(Articles!$B$4:$B$123,A2,Articles!$G$4:$G$123,"guide")</f>
        <v>0</v>
      </c>
      <c r="I2" s="1" t="n">
        <f aca="false">SUMPRODUCT((Articles!$B$4:$B$123=A2)*(COUNTIF(Articles!$A$4:$A$123,Articles!$A$4:$A$123)=1))</f>
        <v>20</v>
      </c>
    </row>
    <row r="3" customFormat="false" ht="15" hidden="false" customHeight="true" outlineLevel="0" collapsed="false">
      <c r="A3" s="1" t="s">
        <v>7</v>
      </c>
      <c r="B3" s="1" t="n">
        <f aca="false">COUNTIF(Articles!$B$4:$B$123,A3)</f>
        <v>20</v>
      </c>
      <c r="C3" s="23" t="n">
        <f aca="false">_xlfn.MINIFS(Articles!$J$4:$J$123,Articles!$B$4:$B$123,A3)</f>
        <v>46212</v>
      </c>
      <c r="D3" s="23" t="n">
        <f aca="false">_xlfn.MAXIFS(Articles!$J$4:$J$123,Articles!$B$4:$B$123,A3)</f>
        <v>46297</v>
      </c>
      <c r="E3" s="24" t="n">
        <f aca="false">Articles!$J$1-C3</f>
        <v>86</v>
      </c>
      <c r="F3" s="24" t="n">
        <f aca="false">Articles!$J$1-D3</f>
        <v>1</v>
      </c>
      <c r="G3" s="1" t="n">
        <f aca="false">SUMIFS(Articles!$L$4:$L$123,Articles!$B$4:$B$123,A3)</f>
        <v>10</v>
      </c>
      <c r="H3" s="1" t="n">
        <f aca="false">COUNTIFS(Articles!$B$4:$B$123,A3,Articles!$G$4:$G$123,"guide")</f>
        <v>0</v>
      </c>
      <c r="I3" s="1" t="n">
        <f aca="false">SUMPRODUCT((Articles!$B$4:$B$123=A3)*(COUNTIF(Articles!$A$4:$A$123,Articles!$A$4:$A$123)=1))</f>
        <v>18</v>
      </c>
    </row>
    <row r="4" customFormat="false" ht="15" hidden="false" customHeight="true" outlineLevel="0" collapsed="false">
      <c r="A4" s="1" t="s">
        <v>8</v>
      </c>
      <c r="B4" s="1" t="n">
        <f aca="false">COUNTIF(Articles!$B$4:$B$123,A4)</f>
        <v>20</v>
      </c>
      <c r="C4" s="23" t="n">
        <f aca="false">_xlfn.MINIFS(Articles!$J$4:$J$123,Articles!$B$4:$B$123,A4)</f>
        <v>46130</v>
      </c>
      <c r="D4" s="23" t="n">
        <f aca="false">_xlfn.MAXIFS(Articles!$J$4:$J$123,Articles!$B$4:$B$123,A4)</f>
        <v>46297</v>
      </c>
      <c r="E4" s="24" t="n">
        <f aca="false">Articles!$J$1-C4</f>
        <v>168</v>
      </c>
      <c r="F4" s="24" t="n">
        <f aca="false">Articles!$J$1-D4</f>
        <v>1</v>
      </c>
      <c r="G4" s="1" t="n">
        <f aca="false">SUMIFS(Articles!$L$4:$L$123,Articles!$B$4:$B$123,A4)</f>
        <v>6</v>
      </c>
      <c r="H4" s="1" t="n">
        <f aca="false">COUNTIFS(Articles!$B$4:$B$123,A4,Articles!$G$4:$G$123,"guide")</f>
        <v>1</v>
      </c>
      <c r="I4" s="1" t="n">
        <f aca="false">SUMPRODUCT((Articles!$B$4:$B$123=A4)*(COUNTIF(Articles!$A$4:$A$123,Articles!$A$4:$A$123)=1))</f>
        <v>18</v>
      </c>
    </row>
    <row r="5" customFormat="false" ht="15" hidden="false" customHeight="true" outlineLevel="0" collapsed="false">
      <c r="A5" s="1" t="s">
        <v>9</v>
      </c>
      <c r="B5" s="1" t="n">
        <f aca="false">COUNTIF(Articles!$B$4:$B$123,A5)</f>
        <v>20</v>
      </c>
      <c r="C5" s="23" t="n">
        <f aca="false">_xlfn.MINIFS(Articles!$J$4:$J$123,Articles!$B$4:$B$123,A5)</f>
        <v>46218</v>
      </c>
      <c r="D5" s="23" t="n">
        <f aca="false">_xlfn.MAXIFS(Articles!$J$4:$J$123,Articles!$B$4:$B$123,A5)</f>
        <v>46291</v>
      </c>
      <c r="E5" s="24" t="n">
        <f aca="false">Articles!$J$1-C5</f>
        <v>80</v>
      </c>
      <c r="F5" s="24" t="n">
        <f aca="false">Articles!$J$1-D5</f>
        <v>7</v>
      </c>
      <c r="G5" s="1" t="n">
        <f aca="false">SUMIFS(Articles!$L$4:$L$123,Articles!$B$4:$B$123,A5)</f>
        <v>4</v>
      </c>
      <c r="H5" s="1" t="n">
        <f aca="false">COUNTIFS(Articles!$B$4:$B$123,A5,Articles!$G$4:$G$123,"guide")</f>
        <v>0</v>
      </c>
      <c r="I5" s="1" t="n">
        <f aca="false">SUMPRODUCT((Articles!$B$4:$B$123=A5)*(COUNTIF(Articles!$A$4:$A$123,Articles!$A$4:$A$123)=1))</f>
        <v>20</v>
      </c>
    </row>
    <row r="6" customFormat="false" ht="15" hidden="false" customHeight="true" outlineLevel="0" collapsed="false">
      <c r="A6" s="1" t="s">
        <v>10</v>
      </c>
      <c r="B6" s="1" t="n">
        <f aca="false">COUNTIF(Articles!$B$4:$B$123,A6)</f>
        <v>20</v>
      </c>
      <c r="C6" s="23" t="n">
        <f aca="false">_xlfn.MINIFS(Articles!$J$4:$J$123,Articles!$B$4:$B$123,A6)</f>
        <v>46151</v>
      </c>
      <c r="D6" s="23" t="n">
        <f aca="false">_xlfn.MAXIFS(Articles!$J$4:$J$123,Articles!$B$4:$B$123,A6)</f>
        <v>46253</v>
      </c>
      <c r="E6" s="24" t="n">
        <f aca="false">Articles!$J$1-C6</f>
        <v>147</v>
      </c>
      <c r="F6" s="24" t="n">
        <f aca="false">Articles!$J$1-D6</f>
        <v>45</v>
      </c>
      <c r="G6" s="1" t="n">
        <f aca="false">SUMIFS(Articles!$L$4:$L$123,Articles!$B$4:$B$123,A6)</f>
        <v>1</v>
      </c>
      <c r="H6" s="1" t="n">
        <f aca="false">COUNTIFS(Articles!$B$4:$B$123,A6,Articles!$G$4:$G$123,"guide")</f>
        <v>0</v>
      </c>
      <c r="I6" s="1" t="n">
        <f aca="false">SUMPRODUCT((Articles!$B$4:$B$123=A6)*(COUNTIF(Articles!$A$4:$A$123,Articles!$A$4:$A$123)=1))</f>
        <v>19</v>
      </c>
    </row>
    <row r="7" customFormat="false" ht="15" hidden="false" customHeight="true" outlineLevel="0" collapsed="false">
      <c r="A7" s="1" t="s">
        <v>11</v>
      </c>
      <c r="B7" s="1" t="n">
        <f aca="false">COUNTIF(Articles!$B$4:$B$123,A7)</f>
        <v>20</v>
      </c>
      <c r="C7" s="23" t="n">
        <f aca="false">_xlfn.MINIFS(Articles!$J$4:$J$123,Articles!$B$4:$B$123,A7)</f>
        <v>46092</v>
      </c>
      <c r="D7" s="23" t="n">
        <f aca="false">_xlfn.MAXIFS(Articles!$J$4:$J$123,Articles!$B$4:$B$123,A7)</f>
        <v>46243</v>
      </c>
      <c r="E7" s="24" t="n">
        <f aca="false">Articles!$J$1-C7</f>
        <v>206</v>
      </c>
      <c r="F7" s="24" t="n">
        <f aca="false">Articles!$J$1-D7</f>
        <v>55</v>
      </c>
      <c r="G7" s="1" t="n">
        <f aca="false">SUMIFS(Articles!$L$4:$L$123,Articles!$B$4:$B$123,A7)</f>
        <v>1</v>
      </c>
      <c r="H7" s="1" t="n">
        <f aca="false">COUNTIFS(Articles!$B$4:$B$123,A7,Articles!$G$4:$G$123,"guide")</f>
        <v>8</v>
      </c>
      <c r="I7" s="1" t="n">
        <f aca="false">SUMPRODUCT((Articles!$B$4:$B$123=A7)*(COUNTIF(Articles!$A$4:$A$123,Articles!$A$4:$A$123)=1))</f>
        <v>19</v>
      </c>
    </row>
    <row r="9" customFormat="false" ht="15" hidden="false" customHeight="true" outlineLevel="0" collapsed="false">
      <c r="A9" s="1" t="s">
        <v>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7" min="2" style="1" width="20"/>
    <col collapsed="false" customWidth="true" hidden="false" outlineLevel="0" max="9" min="8" style="1" width="16"/>
  </cols>
  <sheetData>
    <row r="1" customFormat="false" ht="45" hidden="false" customHeight="true" outlineLevel="0" collapsed="false">
      <c r="A1" s="3" t="s">
        <v>5</v>
      </c>
      <c r="B1" s="3" t="s">
        <v>91</v>
      </c>
      <c r="C1" s="3" t="s">
        <v>409</v>
      </c>
      <c r="D1" s="3" t="s">
        <v>410</v>
      </c>
      <c r="E1" s="3" t="s">
        <v>411</v>
      </c>
      <c r="F1" s="3" t="s">
        <v>412</v>
      </c>
      <c r="G1" s="3" t="s">
        <v>413</v>
      </c>
    </row>
    <row r="2" customFormat="false" ht="15" hidden="false" customHeight="true" outlineLevel="0" collapsed="false">
      <c r="A2" s="1" t="s">
        <v>24</v>
      </c>
      <c r="B2" s="1" t="n">
        <v>202603</v>
      </c>
      <c r="C2" s="14" t="n">
        <f aca="false">Traffic!G8</f>
        <v>4930</v>
      </c>
      <c r="D2" s="14" t="n">
        <f aca="false">C2/Step!$B$12</f>
        <v>3416.92189892802</v>
      </c>
      <c r="E2" s="1" t="n">
        <f aca="false">COUNTIFS(Articles!$B$4:$B$123,"Guides",Articles!$K$4:$K$123,B2)</f>
        <v>3</v>
      </c>
      <c r="F2" s="1" t="n">
        <f aca="false">Traffic!H8-Traffic!H7</f>
        <v>30</v>
      </c>
      <c r="G2" s="10" t="n">
        <f aca="false">C2/Traffic!J8</f>
        <v>0.0510510510510511</v>
      </c>
    </row>
    <row r="3" customFormat="false" ht="15" hidden="false" customHeight="true" outlineLevel="0" collapsed="false">
      <c r="A3" s="1" t="s">
        <v>25</v>
      </c>
      <c r="B3" s="1" t="n">
        <v>202604</v>
      </c>
      <c r="C3" s="14" t="n">
        <f aca="false">Traffic!G9</f>
        <v>2175</v>
      </c>
      <c r="D3" s="14" t="n">
        <f aca="false">C3/Step!$B$12</f>
        <v>1507.46554364472</v>
      </c>
      <c r="E3" s="1" t="n">
        <f aca="false">COUNTIFS(Articles!$B$4:$B$123,"Guides",Articles!$K$4:$K$123,B3)</f>
        <v>0</v>
      </c>
      <c r="F3" s="1" t="n">
        <f aca="false">Traffic!H9-Traffic!H8</f>
        <v>30</v>
      </c>
      <c r="G3" s="10" t="n">
        <f aca="false">C3/Traffic!J9</f>
        <v>0.0226928895612708</v>
      </c>
    </row>
    <row r="4" customFormat="false" ht="15" hidden="false" customHeight="true" outlineLevel="0" collapsed="false">
      <c r="A4" s="1" t="s">
        <v>26</v>
      </c>
      <c r="B4" s="1" t="n">
        <v>202605</v>
      </c>
      <c r="C4" s="14" t="n">
        <f aca="false">Traffic!G10</f>
        <v>1595</v>
      </c>
      <c r="D4" s="14" t="n">
        <f aca="false">C4/Step!$B$12</f>
        <v>1105.47473200613</v>
      </c>
      <c r="E4" s="1" t="n">
        <f aca="false">COUNTIFS(Articles!$B$4:$B$123,"Guides",Articles!$K$4:$K$123,B4)</f>
        <v>3</v>
      </c>
      <c r="F4" s="1" t="n">
        <f aca="false">Traffic!H10-Traffic!H9</f>
        <v>30</v>
      </c>
      <c r="G4" s="10" t="n">
        <f aca="false">C4/Traffic!J10</f>
        <v>0.0163690476190476</v>
      </c>
    </row>
    <row r="5" customFormat="false" ht="15" hidden="false" customHeight="true" outlineLevel="0" collapsed="false">
      <c r="A5" s="1" t="s">
        <v>27</v>
      </c>
      <c r="B5" s="1" t="n">
        <v>202606</v>
      </c>
      <c r="C5" s="14" t="n">
        <f aca="false">Traffic!G11</f>
        <v>1160</v>
      </c>
      <c r="D5" s="14" t="n">
        <f aca="false">C5/Step!$B$12</f>
        <v>803.981623277182</v>
      </c>
      <c r="E5" s="1" t="n">
        <f aca="false">COUNTIFS(Articles!$B$4:$B$123,"Guides",Articles!$K$4:$K$123,B5)</f>
        <v>2</v>
      </c>
      <c r="F5" s="1" t="n">
        <f aca="false">Traffic!H11-Traffic!H10</f>
        <v>30</v>
      </c>
      <c r="G5" s="10" t="n">
        <f aca="false">C5/Traffic!J11</f>
        <v>0.0117130307467057</v>
      </c>
    </row>
    <row r="6" customFormat="false" ht="15" hidden="false" customHeight="true" outlineLevel="0" collapsed="false">
      <c r="A6" s="1" t="s">
        <v>28</v>
      </c>
      <c r="B6" s="1" t="n">
        <v>202607</v>
      </c>
      <c r="C6" s="14" t="n">
        <f aca="false">Traffic!G12</f>
        <v>870</v>
      </c>
      <c r="D6" s="14" t="n">
        <f aca="false">C6/Step!$B$12</f>
        <v>602.986217457887</v>
      </c>
      <c r="E6" s="1" t="n">
        <f aca="false">COUNTIFS(Articles!$B$4:$B$123,"Guides",Articles!$K$4:$K$123,B6)</f>
        <v>11</v>
      </c>
      <c r="F6" s="1" t="n">
        <f aca="false">Traffic!H12-Traffic!H11</f>
        <v>30</v>
      </c>
      <c r="G6" s="10" t="n">
        <f aca="false">C6/Traffic!J12</f>
        <v>0.00862068965517241</v>
      </c>
    </row>
    <row r="7" customFormat="false" ht="15" hidden="false" customHeight="true" outlineLevel="0" collapsed="false">
      <c r="A7" s="1" t="s">
        <v>29</v>
      </c>
      <c r="B7" s="1" t="n">
        <v>202608</v>
      </c>
      <c r="C7" s="14" t="n">
        <f aca="false">Traffic!G13</f>
        <v>725</v>
      </c>
      <c r="D7" s="14" t="n">
        <f aca="false">C7/Step!$B$12</f>
        <v>502.488514548239</v>
      </c>
      <c r="E7" s="1" t="n">
        <f aca="false">COUNTIFS(Articles!$B$4:$B$123,"Guides",Articles!$K$4:$K$123,B7)</f>
        <v>1</v>
      </c>
      <c r="F7" s="1" t="n">
        <f aca="false">Traffic!H13-Traffic!H12</f>
        <v>40</v>
      </c>
      <c r="G7" s="10" t="n">
        <f aca="false">C7/Traffic!J13</f>
        <v>0.00705218617771509</v>
      </c>
    </row>
    <row r="9" customFormat="false" ht="15" hidden="false" customHeight="true" outlineLevel="0" collapsed="false">
      <c r="A9" s="1" t="s">
        <v>414</v>
      </c>
    </row>
    <row r="10" customFormat="false" ht="15" hidden="false" customHeight="true" outlineLevel="0" collapsed="false">
      <c r="A10" s="1" t="s">
        <v>415</v>
      </c>
      <c r="D10" s="10" t="n">
        <f aca="false">D7/D2-1</f>
        <v>-0.852941176470588</v>
      </c>
    </row>
    <row r="11" customFormat="false" ht="15" hidden="false" customHeight="true" outlineLevel="0" collapsed="false">
      <c r="A11" s="1" t="s">
        <v>416</v>
      </c>
      <c r="C11" s="10" t="n">
        <f aca="false">Traffic!G2/Traffic!J2</f>
        <v>0.071304347826087</v>
      </c>
      <c r="D11" s="10" t="n">
        <f aca="false">Traffic!G13/Traffic!J13</f>
        <v>0.00705218617771509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0"/>
  </cols>
  <sheetData>
    <row r="1" customFormat="false" ht="26.25" hidden="false" customHeight="true" outlineLevel="0" collapsed="false">
      <c r="A1" s="3" t="s">
        <v>417</v>
      </c>
      <c r="B1" s="3" t="s">
        <v>418</v>
      </c>
      <c r="C1" s="3" t="s">
        <v>419</v>
      </c>
    </row>
    <row r="2" customFormat="false" ht="15" hidden="false" customHeight="true" outlineLevel="0" collapsed="false">
      <c r="A2" s="1" t="s">
        <v>420</v>
      </c>
      <c r="B2" s="1" t="n">
        <f aca="false">COUNTA(Articles!A4:A123)</f>
        <v>120</v>
      </c>
      <c r="C2" s="4" t="n">
        <v>120</v>
      </c>
      <c r="D2" s="1" t="str">
        <f aca="false">IF(ROUND(B2,3)=C2,"OK","CHECK")</f>
        <v>OK</v>
      </c>
    </row>
    <row r="3" customFormat="false" ht="15" hidden="false" customHeight="true" outlineLevel="0" collapsed="false">
      <c r="A3" s="1" t="s">
        <v>421</v>
      </c>
      <c r="B3" s="1" t="n">
        <f aca="false">COUNTBLANK(Articles!A4:I123)</f>
        <v>0</v>
      </c>
      <c r="C3" s="4" t="n">
        <v>0</v>
      </c>
      <c r="D3" s="1" t="str">
        <f aca="false">IF(ROUND(B3,3)=C3,"OK","CHECK")</f>
        <v>OK</v>
      </c>
    </row>
    <row r="4" customFormat="false" ht="15" hidden="false" customHeight="true" outlineLevel="0" collapsed="false">
      <c r="A4" s="1" t="s">
        <v>422</v>
      </c>
      <c r="B4" s="1" t="n">
        <f aca="false">SUMPRODUCT(--((LEN(TRIM(Articles!C4:C123))-LEN(SUBSTITUTE(TRIM(Articles!C4:C123)," ",""))+1)&lt;&gt;Articles!F4:F123))</f>
        <v>0</v>
      </c>
      <c r="C4" s="4" t="n">
        <v>0</v>
      </c>
      <c r="D4" s="1" t="str">
        <f aca="false">IF(ROUND(B4,3)=C4,"OK","CHECK")</f>
        <v>OK</v>
      </c>
    </row>
    <row r="5" customFormat="false" ht="15" hidden="false" customHeight="true" outlineLevel="0" collapsed="false">
      <c r="A5" s="1" t="s">
        <v>423</v>
      </c>
      <c r="B5" s="1" t="n">
        <f aca="false">SUMPRODUCT(--((((ISNUMBER(SEARCH("0",Articles!C4:C123))+ISNUMBER(SEARCH("1",Articles!C4:C123))+ISNUMBER(SEARCH("2",Articles!C4:C123))+ISNUMBER(SEARCH("3",Articles!C4:C123))+ISNUMBER(SEARCH("4",Articles!C4:C123))+ISNUMBER(SEARCH("5",Articles!C4:C123))+ISNUMBER(SEARCH("6",Articles!C4:C123))+ISNUMBER(SEARCH("7",Articles!C4:C123))+ISNUMBER(SEARCH("8",Articles!C4:C123))+ISNUMBER(SEARCH("9",Articles!C4:C123)))&gt;0)*1)&lt;&gt;Articles!I4:I123))</f>
        <v>0</v>
      </c>
      <c r="C5" s="4" t="n">
        <v>0</v>
      </c>
      <c r="D5" s="1" t="str">
        <f aca="false">IF(ROUND(B5,3)=C5,"OK","CHECK")</f>
        <v>OK</v>
      </c>
    </row>
    <row r="6" customFormat="false" ht="15" hidden="false" customHeight="true" outlineLevel="0" collapsed="false">
      <c r="A6" s="1" t="s">
        <v>424</v>
      </c>
      <c r="B6" s="1" t="n">
        <f aca="false">SUMPRODUCT(--(COUNTIF(Articles!A4:A123,Articles!A4:A123)&gt;1))</f>
        <v>6</v>
      </c>
      <c r="C6" s="4" t="n">
        <v>6</v>
      </c>
      <c r="D6" s="1" t="str">
        <f aca="false">IF(ROUND(B6,3)=C6,"OK","CHECK")</f>
        <v>OK</v>
      </c>
    </row>
    <row r="7" customFormat="false" ht="15" hidden="false" customHeight="true" outlineLevel="0" collapsed="false">
      <c r="A7" s="1" t="s">
        <v>425</v>
      </c>
      <c r="B7" s="1" t="n">
        <f aca="false">SUMPRODUCT(1/COUNTIF(Articles!A4:A123,Articles!A4:A123))</f>
        <v>117</v>
      </c>
      <c r="C7" s="4" t="n">
        <v>117</v>
      </c>
      <c r="D7" s="1" t="str">
        <f aca="false">IF(ROUND(B7,3)=C7,"OK","CHECK")</f>
        <v>OK</v>
      </c>
    </row>
    <row r="8" customFormat="false" ht="15" hidden="false" customHeight="true" outlineLevel="0" collapsed="false">
      <c r="A8" s="1" t="s">
        <v>426</v>
      </c>
      <c r="B8" s="1" t="n">
        <f aca="false">ROUND(Underlying!B15,3)</f>
        <v>0.788</v>
      </c>
      <c r="C8" s="4" t="n">
        <v>0.788</v>
      </c>
      <c r="D8" s="1" t="str">
        <f aca="false">IF(ROUND(B8,3)=C8,"OK","CHECK")</f>
        <v>OK</v>
      </c>
    </row>
    <row r="9" customFormat="false" ht="15" hidden="false" customHeight="true" outlineLevel="0" collapsed="false">
      <c r="A9" s="1" t="s">
        <v>427</v>
      </c>
      <c r="B9" s="1" t="n">
        <f aca="false">ROUND(Underlying!B16,3)</f>
        <v>0.239</v>
      </c>
      <c r="C9" s="4" t="n">
        <v>0.239</v>
      </c>
      <c r="D9" s="1" t="str">
        <f aca="false">IF(ROUND(B9,3)=C9,"OK","CHECK")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2026-10-03T12:38:00Z</dcterms:created>
  <dc:creator>openpyxl</dc:creator>
  <dc:description/>
  <dc:language>en-US</dc:language>
  <cp:lastModifiedBy/>
  <dcterms:modified xsi:type="dcterms:W3CDTF">2026-10-03T13:12:41Z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